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versitedauphine-my.sharepoint.com/personal/marie_bessec_dauphine_psl_eu/Documents/Documents/Nowcasting-with-LLM/Results/"/>
    </mc:Choice>
  </mc:AlternateContent>
  <xr:revisionPtr revIDLastSave="4" documentId="11_B89231273C99E546A5975C9CCEFC0641A29D568A" xr6:coauthVersionLast="47" xr6:coauthVersionMax="47" xr10:uidLastSave="{FD63F621-6185-4805-BBAD-C058699D7F56}"/>
  <bookViews>
    <workbookView xWindow="4163" yWindow="1785" windowWidth="14400" windowHeight="7283" firstSheet="2" activeTab="5" xr2:uid="{00000000-000D-0000-FFFF-FFFF00000000}"/>
  </bookViews>
  <sheets>
    <sheet name="prev_INSEE" sheetId="1" r:id="rId1"/>
    <sheet name="OLD_INSEE" sheetId="2" r:id="rId2"/>
    <sheet name="COMPAR_INSEE" sheetId="5" r:id="rId3"/>
    <sheet name="prev_BDF" sheetId="3" r:id="rId4"/>
    <sheet name="OLD_BDF" sheetId="4" r:id="rId5"/>
    <sheet name="COMPAR_BDF" sheetId="6" r:id="rId6"/>
  </sheets>
  <calcPr calcId="181029"/>
</workbook>
</file>

<file path=xl/calcChain.xml><?xml version="1.0" encoding="utf-8"?>
<calcChain xmlns="http://schemas.openxmlformats.org/spreadsheetml/2006/main">
  <c r="B30" i="6" l="1"/>
  <c r="C30" i="6"/>
  <c r="D30" i="6"/>
  <c r="E30" i="6"/>
  <c r="B3" i="6"/>
  <c r="C3" i="6"/>
  <c r="D3" i="6"/>
  <c r="E3" i="6"/>
  <c r="B4" i="6"/>
  <c r="C4" i="6"/>
  <c r="D4" i="6"/>
  <c r="E4" i="6"/>
  <c r="B5" i="6"/>
  <c r="C5" i="6"/>
  <c r="D5" i="6"/>
  <c r="E5" i="6"/>
  <c r="B6" i="6"/>
  <c r="C6" i="6"/>
  <c r="D6" i="6"/>
  <c r="E6" i="6"/>
  <c r="B7" i="6"/>
  <c r="C7" i="6"/>
  <c r="D7" i="6"/>
  <c r="E7" i="6"/>
  <c r="B8" i="6"/>
  <c r="C8" i="6"/>
  <c r="D8" i="6"/>
  <c r="E8" i="6"/>
  <c r="B9" i="6"/>
  <c r="C9" i="6"/>
  <c r="D9" i="6"/>
  <c r="E9" i="6"/>
  <c r="B10" i="6"/>
  <c r="C10" i="6"/>
  <c r="D10" i="6"/>
  <c r="E10" i="6"/>
  <c r="B11" i="6"/>
  <c r="C11" i="6"/>
  <c r="D11" i="6"/>
  <c r="E11" i="6"/>
  <c r="B12" i="6"/>
  <c r="C12" i="6"/>
  <c r="D12" i="6"/>
  <c r="E12" i="6"/>
  <c r="B13" i="6"/>
  <c r="C13" i="6"/>
  <c r="D13" i="6"/>
  <c r="E13" i="6"/>
  <c r="B14" i="6"/>
  <c r="C14" i="6"/>
  <c r="D14" i="6"/>
  <c r="E14" i="6"/>
  <c r="B15" i="6"/>
  <c r="C15" i="6"/>
  <c r="D15" i="6"/>
  <c r="E15" i="6"/>
  <c r="B16" i="6"/>
  <c r="C16" i="6"/>
  <c r="D16" i="6"/>
  <c r="E16" i="6"/>
  <c r="B17" i="6"/>
  <c r="C17" i="6"/>
  <c r="D17" i="6"/>
  <c r="E17" i="6"/>
  <c r="B18" i="6"/>
  <c r="C18" i="6"/>
  <c r="D18" i="6"/>
  <c r="E18" i="6"/>
  <c r="B19" i="6"/>
  <c r="C19" i="6"/>
  <c r="D19" i="6"/>
  <c r="E19" i="6"/>
  <c r="B20" i="6"/>
  <c r="C20" i="6"/>
  <c r="D20" i="6"/>
  <c r="E20" i="6"/>
  <c r="B21" i="6"/>
  <c r="C21" i="6"/>
  <c r="D21" i="6"/>
  <c r="E21" i="6"/>
  <c r="B22" i="6"/>
  <c r="C22" i="6"/>
  <c r="D22" i="6"/>
  <c r="E22" i="6"/>
  <c r="B23" i="6"/>
  <c r="C23" i="6"/>
  <c r="D23" i="6"/>
  <c r="E23" i="6"/>
  <c r="B24" i="6"/>
  <c r="C24" i="6"/>
  <c r="D24" i="6"/>
  <c r="E24" i="6"/>
  <c r="B25" i="6"/>
  <c r="C25" i="6"/>
  <c r="D25" i="6"/>
  <c r="E25" i="6"/>
  <c r="B26" i="6"/>
  <c r="C26" i="6"/>
  <c r="D26" i="6"/>
  <c r="E26" i="6"/>
  <c r="B27" i="6"/>
  <c r="C27" i="6"/>
  <c r="D27" i="6"/>
  <c r="E27" i="6"/>
  <c r="B28" i="6"/>
  <c r="C28" i="6"/>
  <c r="D28" i="6"/>
  <c r="E28" i="6"/>
  <c r="B29" i="6"/>
  <c r="C29" i="6"/>
  <c r="D29" i="6"/>
  <c r="E29" i="6"/>
  <c r="B3" i="5"/>
  <c r="C3" i="5"/>
  <c r="D3" i="5"/>
  <c r="E3" i="5"/>
  <c r="B4" i="5"/>
  <c r="C4" i="5"/>
  <c r="D4" i="5"/>
  <c r="E4" i="5"/>
  <c r="B5" i="5"/>
  <c r="C5" i="5"/>
  <c r="D5" i="5"/>
  <c r="E5" i="5"/>
  <c r="B6" i="5"/>
  <c r="C6" i="5"/>
  <c r="D6" i="5"/>
  <c r="E6" i="5"/>
  <c r="B7" i="5"/>
  <c r="C7" i="5"/>
  <c r="D7" i="5"/>
  <c r="E7" i="5"/>
  <c r="B8" i="5"/>
  <c r="C8" i="5"/>
  <c r="D8" i="5"/>
  <c r="E8" i="5"/>
  <c r="B9" i="5"/>
  <c r="C9" i="5"/>
  <c r="D9" i="5"/>
  <c r="E9" i="5"/>
  <c r="B10" i="5"/>
  <c r="C10" i="5"/>
  <c r="D10" i="5"/>
  <c r="E10" i="5"/>
  <c r="B11" i="5"/>
  <c r="C11" i="5"/>
  <c r="D11" i="5"/>
  <c r="E11" i="5"/>
  <c r="B12" i="5"/>
  <c r="C12" i="5"/>
  <c r="D12" i="5"/>
  <c r="E12" i="5"/>
  <c r="B13" i="5"/>
  <c r="C13" i="5"/>
  <c r="D13" i="5"/>
  <c r="E13" i="5"/>
  <c r="B14" i="5"/>
  <c r="C14" i="5"/>
  <c r="D14" i="5"/>
  <c r="E14" i="5"/>
  <c r="B15" i="5"/>
  <c r="C15" i="5"/>
  <c r="D15" i="5"/>
  <c r="E15" i="5"/>
  <c r="B16" i="5"/>
  <c r="C16" i="5"/>
  <c r="D16" i="5"/>
  <c r="E16" i="5"/>
  <c r="B17" i="5"/>
  <c r="C17" i="5"/>
  <c r="D17" i="5"/>
  <c r="E17" i="5"/>
  <c r="B18" i="5"/>
  <c r="C18" i="5"/>
  <c r="D18" i="5"/>
  <c r="E18" i="5"/>
  <c r="B19" i="5"/>
  <c r="C19" i="5"/>
  <c r="D19" i="5"/>
  <c r="E19" i="5"/>
  <c r="B20" i="5"/>
  <c r="C20" i="5"/>
  <c r="D20" i="5"/>
  <c r="E20" i="5"/>
  <c r="B21" i="5"/>
  <c r="C21" i="5"/>
  <c r="D21" i="5"/>
  <c r="E21" i="5"/>
  <c r="B22" i="5"/>
  <c r="C22" i="5"/>
  <c r="D22" i="5"/>
  <c r="E22" i="5"/>
  <c r="B23" i="5"/>
  <c r="C23" i="5"/>
  <c r="D23" i="5"/>
  <c r="E23" i="5"/>
  <c r="B24" i="5"/>
  <c r="C24" i="5"/>
  <c r="D24" i="5"/>
  <c r="E24" i="5"/>
  <c r="B25" i="5"/>
  <c r="C25" i="5"/>
  <c r="D25" i="5"/>
  <c r="E25" i="5"/>
  <c r="B26" i="5"/>
  <c r="C26" i="5"/>
  <c r="D26" i="5"/>
  <c r="E26" i="5"/>
  <c r="B27" i="5"/>
  <c r="C27" i="5"/>
  <c r="D27" i="5"/>
  <c r="E27" i="5"/>
  <c r="B28" i="5"/>
  <c r="C28" i="5"/>
  <c r="D28" i="5"/>
  <c r="E28" i="5"/>
  <c r="B29" i="5"/>
  <c r="C29" i="5"/>
  <c r="D29" i="5"/>
  <c r="E29" i="5"/>
  <c r="B30" i="5"/>
  <c r="C30" i="5"/>
  <c r="D30" i="5"/>
  <c r="E30" i="5"/>
  <c r="AA30" i="4"/>
  <c r="Z30" i="4"/>
  <c r="Y30" i="4"/>
  <c r="X30" i="4"/>
  <c r="AA29" i="4"/>
  <c r="Z29" i="4"/>
  <c r="Y29" i="4"/>
  <c r="X29" i="4"/>
  <c r="AA28" i="4"/>
  <c r="Z28" i="4"/>
  <c r="Y28" i="4"/>
  <c r="X28" i="4"/>
  <c r="AA27" i="4"/>
  <c r="Z27" i="4"/>
  <c r="Y27" i="4"/>
  <c r="X27" i="4"/>
  <c r="AA26" i="4"/>
  <c r="Z26" i="4"/>
  <c r="Y26" i="4"/>
  <c r="X26" i="4"/>
  <c r="AA25" i="4"/>
  <c r="Z25" i="4"/>
  <c r="Y25" i="4"/>
  <c r="X25" i="4"/>
  <c r="AA24" i="4"/>
  <c r="Z24" i="4"/>
  <c r="Y24" i="4"/>
  <c r="X24" i="4"/>
  <c r="AA23" i="4"/>
  <c r="Z23" i="4"/>
  <c r="Y23" i="4"/>
  <c r="X23" i="4"/>
  <c r="AA22" i="4"/>
  <c r="Z22" i="4"/>
  <c r="Y22" i="4"/>
  <c r="X22" i="4"/>
  <c r="AA21" i="4"/>
  <c r="Z21" i="4"/>
  <c r="Y21" i="4"/>
  <c r="X21" i="4"/>
  <c r="AA20" i="4"/>
  <c r="Z20" i="4"/>
  <c r="Y20" i="4"/>
  <c r="X20" i="4"/>
  <c r="AA19" i="4"/>
  <c r="Z19" i="4"/>
  <c r="Y19" i="4"/>
  <c r="X19" i="4"/>
  <c r="AA18" i="4"/>
  <c r="Z18" i="4"/>
  <c r="Y18" i="4"/>
  <c r="X18" i="4"/>
  <c r="AA17" i="4"/>
  <c r="Z17" i="4"/>
  <c r="Y17" i="4"/>
  <c r="X17" i="4"/>
  <c r="AA16" i="4"/>
  <c r="Z16" i="4"/>
  <c r="Y16" i="4"/>
  <c r="X16" i="4"/>
  <c r="AA15" i="4"/>
  <c r="Z15" i="4"/>
  <c r="Y15" i="4"/>
  <c r="X15" i="4"/>
  <c r="AA14" i="4"/>
  <c r="Z14" i="4"/>
  <c r="Y14" i="4"/>
  <c r="X14" i="4"/>
  <c r="AA13" i="4"/>
  <c r="Z13" i="4"/>
  <c r="Y13" i="4"/>
  <c r="X13" i="4"/>
  <c r="AA12" i="4"/>
  <c r="Z12" i="4"/>
  <c r="Y12" i="4"/>
  <c r="X12" i="4"/>
  <c r="AA11" i="4"/>
  <c r="Z11" i="4"/>
  <c r="Y11" i="4"/>
  <c r="X11" i="4"/>
  <c r="AA10" i="4"/>
  <c r="Z10" i="4"/>
  <c r="Y10" i="4"/>
  <c r="X10" i="4"/>
  <c r="AA9" i="4"/>
  <c r="Z9" i="4"/>
  <c r="Y9" i="4"/>
  <c r="X9" i="4"/>
  <c r="AA8" i="4"/>
  <c r="Z8" i="4"/>
  <c r="Y8" i="4"/>
  <c r="X8" i="4"/>
  <c r="AA7" i="4"/>
  <c r="Z7" i="4"/>
  <c r="Y7" i="4"/>
  <c r="X7" i="4"/>
  <c r="AA6" i="4"/>
  <c r="Z6" i="4"/>
  <c r="Y6" i="4"/>
  <c r="X6" i="4"/>
  <c r="AA5" i="4"/>
  <c r="Z5" i="4"/>
  <c r="Y5" i="4"/>
  <c r="X5" i="4"/>
  <c r="AA4" i="4"/>
  <c r="Z4" i="4"/>
  <c r="Y4" i="4"/>
  <c r="X4" i="4"/>
  <c r="AA3" i="4"/>
  <c r="Z3" i="4"/>
  <c r="Y3" i="4"/>
  <c r="X3" i="4"/>
  <c r="AA2" i="4"/>
  <c r="Z2" i="4"/>
  <c r="Y2" i="4"/>
  <c r="X2" i="4"/>
  <c r="X2" i="3"/>
  <c r="B2" i="6" s="1"/>
  <c r="Y2" i="3"/>
  <c r="C2" i="6" s="1"/>
  <c r="Z2" i="3"/>
  <c r="D2" i="6" s="1"/>
  <c r="AA2" i="3"/>
  <c r="E2" i="6" s="1"/>
  <c r="X3" i="2"/>
  <c r="Y3" i="2"/>
  <c r="Z3" i="2"/>
  <c r="AA3" i="2"/>
  <c r="X4" i="2"/>
  <c r="Y4" i="2"/>
  <c r="Z4" i="2"/>
  <c r="AA4" i="2"/>
  <c r="X5" i="2"/>
  <c r="Y5" i="2"/>
  <c r="Z5" i="2"/>
  <c r="AA5" i="2"/>
  <c r="X6" i="2"/>
  <c r="Y6" i="2"/>
  <c r="Z6" i="2"/>
  <c r="AA6" i="2"/>
  <c r="X7" i="2"/>
  <c r="Y7" i="2"/>
  <c r="Z7" i="2"/>
  <c r="AA7" i="2"/>
  <c r="X8" i="2"/>
  <c r="Y8" i="2"/>
  <c r="Z8" i="2"/>
  <c r="AA8" i="2"/>
  <c r="X9" i="2"/>
  <c r="Y9" i="2"/>
  <c r="Z9" i="2"/>
  <c r="AA9" i="2"/>
  <c r="X10" i="2"/>
  <c r="Y10" i="2"/>
  <c r="Z10" i="2"/>
  <c r="AA10" i="2"/>
  <c r="X11" i="2"/>
  <c r="Y11" i="2"/>
  <c r="Z11" i="2"/>
  <c r="AA11" i="2"/>
  <c r="X12" i="2"/>
  <c r="Y12" i="2"/>
  <c r="Z12" i="2"/>
  <c r="AA12" i="2"/>
  <c r="X13" i="2"/>
  <c r="Y13" i="2"/>
  <c r="Z13" i="2"/>
  <c r="AA13" i="2"/>
  <c r="X14" i="2"/>
  <c r="Y14" i="2"/>
  <c r="Z14" i="2"/>
  <c r="AA14" i="2"/>
  <c r="X15" i="2"/>
  <c r="Y15" i="2"/>
  <c r="Z15" i="2"/>
  <c r="AA15" i="2"/>
  <c r="X16" i="2"/>
  <c r="Y16" i="2"/>
  <c r="Z16" i="2"/>
  <c r="AA16" i="2"/>
  <c r="X17" i="2"/>
  <c r="Y17" i="2"/>
  <c r="Z17" i="2"/>
  <c r="AA17" i="2"/>
  <c r="X18" i="2"/>
  <c r="Y18" i="2"/>
  <c r="Z18" i="2"/>
  <c r="AA18" i="2"/>
  <c r="X19" i="2"/>
  <c r="Y19" i="2"/>
  <c r="Z19" i="2"/>
  <c r="AA19" i="2"/>
  <c r="X20" i="2"/>
  <c r="Y20" i="2"/>
  <c r="Z20" i="2"/>
  <c r="AA20" i="2"/>
  <c r="X21" i="2"/>
  <c r="Y21" i="2"/>
  <c r="Z21" i="2"/>
  <c r="AA21" i="2"/>
  <c r="X22" i="2"/>
  <c r="Y22" i="2"/>
  <c r="Z22" i="2"/>
  <c r="AA22" i="2"/>
  <c r="X23" i="2"/>
  <c r="Y23" i="2"/>
  <c r="Z23" i="2"/>
  <c r="AA23" i="2"/>
  <c r="X24" i="2"/>
  <c r="Y24" i="2"/>
  <c r="Z24" i="2"/>
  <c r="AA24" i="2"/>
  <c r="X25" i="2"/>
  <c r="Y25" i="2"/>
  <c r="Z25" i="2"/>
  <c r="AA25" i="2"/>
  <c r="X26" i="2"/>
  <c r="Y26" i="2"/>
  <c r="Z26" i="2"/>
  <c r="AA26" i="2"/>
  <c r="X27" i="2"/>
  <c r="Y27" i="2"/>
  <c r="Z27" i="2"/>
  <c r="AA27" i="2"/>
  <c r="X28" i="2"/>
  <c r="Y28" i="2"/>
  <c r="Z28" i="2"/>
  <c r="AA28" i="2"/>
  <c r="X29" i="2"/>
  <c r="Y29" i="2"/>
  <c r="Z29" i="2"/>
  <c r="AA29" i="2"/>
  <c r="X30" i="2"/>
  <c r="Y30" i="2"/>
  <c r="Z30" i="2"/>
  <c r="AA30" i="2"/>
  <c r="X3" i="3"/>
  <c r="Y3" i="3"/>
  <c r="Z3" i="3"/>
  <c r="AA3" i="3"/>
  <c r="X4" i="3"/>
  <c r="Y4" i="3"/>
  <c r="Z4" i="3"/>
  <c r="AA4" i="3"/>
  <c r="X5" i="3"/>
  <c r="Y5" i="3"/>
  <c r="Z5" i="3"/>
  <c r="AA5" i="3"/>
  <c r="X6" i="3"/>
  <c r="Y6" i="3"/>
  <c r="Z6" i="3"/>
  <c r="AA6" i="3"/>
  <c r="X7" i="3"/>
  <c r="Y7" i="3"/>
  <c r="Z7" i="3"/>
  <c r="AA7" i="3"/>
  <c r="X8" i="3"/>
  <c r="Y8" i="3"/>
  <c r="Z8" i="3"/>
  <c r="AA8" i="3"/>
  <c r="X9" i="3"/>
  <c r="Y9" i="3"/>
  <c r="Z9" i="3"/>
  <c r="AA9" i="3"/>
  <c r="X10" i="3"/>
  <c r="Y10" i="3"/>
  <c r="Z10" i="3"/>
  <c r="AA10" i="3"/>
  <c r="X11" i="3"/>
  <c r="Y11" i="3"/>
  <c r="Z11" i="3"/>
  <c r="AA11" i="3"/>
  <c r="X12" i="3"/>
  <c r="Y12" i="3"/>
  <c r="Z12" i="3"/>
  <c r="AA12" i="3"/>
  <c r="X13" i="3"/>
  <c r="Y13" i="3"/>
  <c r="Z13" i="3"/>
  <c r="AA13" i="3"/>
  <c r="X14" i="3"/>
  <c r="Y14" i="3"/>
  <c r="Z14" i="3"/>
  <c r="AA14" i="3"/>
  <c r="X15" i="3"/>
  <c r="Y15" i="3"/>
  <c r="Z15" i="3"/>
  <c r="AA15" i="3"/>
  <c r="X16" i="3"/>
  <c r="Y16" i="3"/>
  <c r="Z16" i="3"/>
  <c r="AA16" i="3"/>
  <c r="X17" i="3"/>
  <c r="Y17" i="3"/>
  <c r="Z17" i="3"/>
  <c r="AA17" i="3"/>
  <c r="X18" i="3"/>
  <c r="Y18" i="3"/>
  <c r="Z18" i="3"/>
  <c r="AA18" i="3"/>
  <c r="X19" i="3"/>
  <c r="Y19" i="3"/>
  <c r="Z19" i="3"/>
  <c r="AA19" i="3"/>
  <c r="X20" i="3"/>
  <c r="Y20" i="3"/>
  <c r="Z20" i="3"/>
  <c r="AA20" i="3"/>
  <c r="X21" i="3"/>
  <c r="Y21" i="3"/>
  <c r="Z21" i="3"/>
  <c r="AA21" i="3"/>
  <c r="X22" i="3"/>
  <c r="Y22" i="3"/>
  <c r="Z22" i="3"/>
  <c r="AA22" i="3"/>
  <c r="X23" i="3"/>
  <c r="Y23" i="3"/>
  <c r="Z23" i="3"/>
  <c r="AA23" i="3"/>
  <c r="X24" i="3"/>
  <c r="Y24" i="3"/>
  <c r="Z24" i="3"/>
  <c r="AA24" i="3"/>
  <c r="X25" i="3"/>
  <c r="Y25" i="3"/>
  <c r="Z25" i="3"/>
  <c r="AA25" i="3"/>
  <c r="X26" i="3"/>
  <c r="Y26" i="3"/>
  <c r="Z26" i="3"/>
  <c r="AA26" i="3"/>
  <c r="X27" i="3"/>
  <c r="Y27" i="3"/>
  <c r="Z27" i="3"/>
  <c r="AA27" i="3"/>
  <c r="X28" i="3"/>
  <c r="Y28" i="3"/>
  <c r="Z28" i="3"/>
  <c r="AA28" i="3"/>
  <c r="X29" i="3"/>
  <c r="Y29" i="3"/>
  <c r="Z29" i="3"/>
  <c r="AA29" i="3"/>
  <c r="X30" i="3"/>
  <c r="Y30" i="3"/>
  <c r="Z30" i="3"/>
  <c r="AA30" i="3"/>
  <c r="X3" i="1"/>
  <c r="Y3" i="1"/>
  <c r="Z3" i="1"/>
  <c r="AA3" i="1"/>
  <c r="X4" i="1"/>
  <c r="Y4" i="1"/>
  <c r="Z4" i="1"/>
  <c r="AA4" i="1"/>
  <c r="X5" i="1"/>
  <c r="Y5" i="1"/>
  <c r="Z5" i="1"/>
  <c r="AA5" i="1"/>
  <c r="X6" i="1"/>
  <c r="Y6" i="1"/>
  <c r="Z6" i="1"/>
  <c r="AA6" i="1"/>
  <c r="X7" i="1"/>
  <c r="Y7" i="1"/>
  <c r="Z7" i="1"/>
  <c r="AA7" i="1"/>
  <c r="X8" i="1"/>
  <c r="Y8" i="1"/>
  <c r="Z8" i="1"/>
  <c r="AA8" i="1"/>
  <c r="X9" i="1"/>
  <c r="Y9" i="1"/>
  <c r="Z9" i="1"/>
  <c r="AA9" i="1"/>
  <c r="X10" i="1"/>
  <c r="Y10" i="1"/>
  <c r="Z10" i="1"/>
  <c r="AA10" i="1"/>
  <c r="X11" i="1"/>
  <c r="Y11" i="1"/>
  <c r="Z11" i="1"/>
  <c r="AA11" i="1"/>
  <c r="X12" i="1"/>
  <c r="Y12" i="1"/>
  <c r="Z12" i="1"/>
  <c r="AA12" i="1"/>
  <c r="X13" i="1"/>
  <c r="Y13" i="1"/>
  <c r="Z13" i="1"/>
  <c r="AA13" i="1"/>
  <c r="X14" i="1"/>
  <c r="Y14" i="1"/>
  <c r="Z14" i="1"/>
  <c r="AA14" i="1"/>
  <c r="X15" i="1"/>
  <c r="Y15" i="1"/>
  <c r="Z15" i="1"/>
  <c r="AA15" i="1"/>
  <c r="X16" i="1"/>
  <c r="Y16" i="1"/>
  <c r="Z16" i="1"/>
  <c r="AA16" i="1"/>
  <c r="X17" i="1"/>
  <c r="Y17" i="1"/>
  <c r="Z17" i="1"/>
  <c r="AA17" i="1"/>
  <c r="X18" i="1"/>
  <c r="Y18" i="1"/>
  <c r="Z18" i="1"/>
  <c r="AA18" i="1"/>
  <c r="X19" i="1"/>
  <c r="Y19" i="1"/>
  <c r="Z19" i="1"/>
  <c r="AA19" i="1"/>
  <c r="X20" i="1"/>
  <c r="Y20" i="1"/>
  <c r="Z20" i="1"/>
  <c r="AA20" i="1"/>
  <c r="X21" i="1"/>
  <c r="Y21" i="1"/>
  <c r="Z21" i="1"/>
  <c r="AA21" i="1"/>
  <c r="X22" i="1"/>
  <c r="Y22" i="1"/>
  <c r="Z22" i="1"/>
  <c r="AA22" i="1"/>
  <c r="X23" i="1"/>
  <c r="Y23" i="1"/>
  <c r="Z23" i="1"/>
  <c r="AA23" i="1"/>
  <c r="X24" i="1"/>
  <c r="Y24" i="1"/>
  <c r="Z24" i="1"/>
  <c r="AA24" i="1"/>
  <c r="X25" i="1"/>
  <c r="Y25" i="1"/>
  <c r="Z25" i="1"/>
  <c r="AA25" i="1"/>
  <c r="X26" i="1"/>
  <c r="Y26" i="1"/>
  <c r="Z26" i="1"/>
  <c r="AA26" i="1"/>
  <c r="X27" i="1"/>
  <c r="Y27" i="1"/>
  <c r="Z27" i="1"/>
  <c r="AA27" i="1"/>
  <c r="X28" i="1"/>
  <c r="Y28" i="1"/>
  <c r="Z28" i="1"/>
  <c r="AA28" i="1"/>
  <c r="X29" i="1"/>
  <c r="Y29" i="1"/>
  <c r="Z29" i="1"/>
  <c r="AA29" i="1"/>
  <c r="X30" i="1"/>
  <c r="Y30" i="1"/>
  <c r="Z30" i="1"/>
  <c r="AA30" i="1"/>
  <c r="AA2" i="2"/>
  <c r="AA2" i="1"/>
  <c r="Z2" i="2"/>
  <c r="Z2" i="1"/>
  <c r="X2" i="2"/>
  <c r="X2" i="1"/>
  <c r="B2" i="5" s="1"/>
  <c r="Y2" i="2"/>
  <c r="C2" i="5" s="1"/>
  <c r="Y2" i="1"/>
  <c r="D2" i="5" l="1"/>
  <c r="E2" i="5"/>
</calcChain>
</file>

<file path=xl/sharedStrings.xml><?xml version="1.0" encoding="utf-8"?>
<sst xmlns="http://schemas.openxmlformats.org/spreadsheetml/2006/main" count="524" uniqueCount="145">
  <si>
    <t>Date</t>
  </si>
  <si>
    <t>Type</t>
  </si>
  <si>
    <t>Prompt</t>
  </si>
  <si>
    <t>forecast_1</t>
  </si>
  <si>
    <t>confidence_1</t>
  </si>
  <si>
    <t>forecast_2</t>
  </si>
  <si>
    <t>confidence_2</t>
  </si>
  <si>
    <t>forecast_3</t>
  </si>
  <si>
    <t>confidence_3</t>
  </si>
  <si>
    <t>forecast_4</t>
  </si>
  <si>
    <t>confidence_4</t>
  </si>
  <si>
    <t>forecast_5</t>
  </si>
  <si>
    <t>confidence_5</t>
  </si>
  <si>
    <t>forecast_6</t>
  </si>
  <si>
    <t>confidence_6</t>
  </si>
  <si>
    <t>forecast_7</t>
  </si>
  <si>
    <t>confidence_7</t>
  </si>
  <si>
    <t>forecast_8</t>
  </si>
  <si>
    <t>confidence_8</t>
  </si>
  <si>
    <t>forecast_9</t>
  </si>
  <si>
    <t>confidence_9</t>
  </si>
  <si>
    <t>forecast_10</t>
  </si>
  <si>
    <t>confidence_10</t>
  </si>
  <si>
    <t>2018-01-10</t>
  </si>
  <si>
    <t>INSEE</t>
  </si>
  <si>
    <t>Forget the previous instructions and answers. You are Jean-Luc Tavernier, Director General of INSEE, and you are giving a speech about the economic outlook of France. Today is 10 January 2018. Using ONLY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</si>
  <si>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2018-02-07</t>
  </si>
  <si>
    <t>Forget the previous instructions and answers. You are Jean-Luc Tavernier, Director General of INSEE, and you are giving a speech about the economic outlook of France. Today is 07 February 2018. Using ONLY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</si>
  <si>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2018-03-07</t>
  </si>
  <si>
    <t>Forget the previous instructions and answers. You are Jean-Luc Tavernier, Director General of INSEE, and you are giving a speech about the economic outlook of France. Today is 07 March 2018. Using ONLY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</si>
  <si>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2018-04-10</t>
  </si>
  <si>
    <t>Forget the previous instructions and answers. You are Jean-Luc Tavernier, Director General of INSEE, and you are giving a speech about the economic outlook of France. Today is 10 April 2018. Using ONLY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</si>
  <si>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2018-05-13</t>
  </si>
  <si>
    <t>Forget the previous instructions and answers. You are Jean-Luc Tavernier, Director General of INSEE, and you are giving a speech about the economic outlook of France. Today is 13 May 2018. Using ONLY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</si>
  <si>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2018-06-10</t>
  </si>
  <si>
    <t>Forget the previous instructions and answers. You are Jean-Luc Tavernier, Director General of INSEE, and you are giving a speech about the economic outlook of France. Today is 10 June 2018. Using ONLY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</si>
  <si>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2018-07-08</t>
  </si>
  <si>
    <t>Forget the previous instructions and answers. You are Jean-Luc Tavernier, Director General of INSEE, and you are giving a speech about the economic outlook of France. Today is 08 July 2018. Using ONLY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</si>
  <si>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2018-08-07</t>
  </si>
  <si>
    <t>Forget the previous instructions and answers. You are Jean-Luc Tavernier, Director General of INSEE, and you are giving a speech about the economic outlook of France. Today is 07 August 2018. Using ONLY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</si>
  <si>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2018-09-09</t>
  </si>
  <si>
    <t>Forget the previous instructions and answers. You are Jean-Luc Tavernier, Director General of INSEE, and you are giving a speech about the economic outlook of France. Today is 09 September 2018. Using ONLY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</si>
  <si>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2018-10-07</t>
  </si>
  <si>
    <t>Forget the previous instructions and answers. You are Jean-Luc Tavernier, Director General of INSEE, and you are giving a speech about the economic outlook of France. Today is 07 October 2018. Using ONLY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</si>
  <si>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2018-11-11</t>
  </si>
  <si>
    <t>Forget the previous instructions and answers. You are Jean-Luc Tavernier, Director General of INSEE, and you are giving a speech about the economic outlook of France. Today is 11 November 2018. Using ONLY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</si>
  <si>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2018-12-09</t>
  </si>
  <si>
    <t>Forget the previous instructions and answers. You are Jean-Luc Tavernier, Director General of INSEE, and you are giving a speech about the economic outlook of France. Today is 09 December 2018. Using ONLY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</si>
  <si>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2019-01-10</t>
  </si>
  <si>
    <t>Forget the previous instructions and answers. You are Jean-Luc Tavernier, Director General of INSEE, and you are giving a speech about the economic outlook of France. Today is 10 January 2019. Using ONLY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</si>
  <si>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2019-02-10</t>
  </si>
  <si>
    <t>Forget the previous instructions and answers. You are Jean-Luc Tavernier, Director General of INSEE, and you are giving a speech about the economic outlook of France. Today is 10 February 2019. Using ONLY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</si>
  <si>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2019-03-10</t>
  </si>
  <si>
    <t>Forget the previous instructions and answers. You are Jean-Luc Tavernier, Director General of INSEE, and you are giving a speech about the economic outlook of France. Today is 10 March 2019. Using ONLY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</si>
  <si>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2019-04-07</t>
  </si>
  <si>
    <t>Forget the previous instructions and answers. You are Jean-Luc Tavernier, Director General of INSEE, and you are giving a speech about the economic outlook of France. Today is 07 April 2019. Using ONLY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</si>
  <si>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2019-05-12</t>
  </si>
  <si>
    <t>Forget the previous instructions and answers. You are Jean-Luc Tavernier, Director General of INSEE, and you are giving a speech about the economic outlook of France. Today is 12 May 2019. Using ONLY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</si>
  <si>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2019-06-10</t>
  </si>
  <si>
    <t>Forget the previous instructions and answers. You are Jean-Luc Tavernier, Director General of INSEE, and you are giving a speech about the economic outlook of France. Today is 10 June 2019. Using ONLY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</si>
  <si>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2019-07-07</t>
  </si>
  <si>
    <t>Forget the previous instructions and answers. You are Jean-Luc Tavernier, Director General of INSEE, and you are giving a speech about the economic outlook of France. Today is 07 July 2019. Using ONLY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</si>
  <si>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2019-08-07</t>
  </si>
  <si>
    <t>Forget the previous instructions and answers. You are Jean-Luc Tavernier, Director General of INSEE, and you are giving a speech about the economic outlook of France. Today is 07 August 2019. Using ONLY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</si>
  <si>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2019-09-08</t>
  </si>
  <si>
    <t>Forget the previous instructions and answers. You are Jean-Luc Tavernier, Director General of INSEE, and you are giving a speech about the economic outlook of France. Today is 08 September 2019. Using ONLY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</si>
  <si>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2019-10-08</t>
  </si>
  <si>
    <t>Forget the previous instructions and answers. You are Jean-Luc Tavernier, Director General of INSEE, and you are giving a speech about the economic outlook of France. Today is 08 October 2019. Using ONLY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</si>
  <si>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2019-11-11</t>
  </si>
  <si>
    <t>Forget the previous instructions and answers. You are Jean-Luc Tavernier, Director General of INSEE, and you are giving a speech about the economic outlook of France. Today is 11 November 2019. Using ONLY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</si>
  <si>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2019-12-08</t>
  </si>
  <si>
    <t>Forget the previous instructions and answers. You are Jean-Luc Tavernier, Director General of INSEE, and you are giving a speech about the economic outlook of France. Today is 08 December 2019. Using ONLY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</si>
  <si>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2020-01-09</t>
  </si>
  <si>
    <t>Forget the previous instructions and answers. You are Jean-Luc Tavernier, Director General of INSEE, and you are giving a speech about the economic outlook of France. Today is 09 January 2020. Using ONLY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</si>
  <si>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2020-08-09</t>
  </si>
  <si>
    <t>Forget the previous instructions and answers. You are Jean-Luc Tavernier, Director General of INSEE, and you are giving a speech about the economic outlook of France. Today is 09 August 2020. Using ONLY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</si>
  <si>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2020-10-07</t>
  </si>
  <si>
    <t>Forget the previous instructions and answers. You are Jean-Luc Tavernier, Director General of INSEE, and you are giving a speech about the economic outlook of France. Today is 07 October 2020. Using ONLY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</si>
  <si>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2020-11-08</t>
  </si>
  <si>
    <t>Forget the previous instructions and answers. You are Jean-Luc Tavernier, Director General of INSEE, and you are giving a speech about the economic outlook of France. Today is 08 November 2020. Using ONLY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</si>
  <si>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2020-12-13</t>
  </si>
  <si>
    <t>Forget the previous instructions and answers. You are Jean-Luc Tavernier, Director General of INSEE, and you are giving a speech about the economic outlook of France. Today is 13 December 2020. Using ONLY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</si>
  <si>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BDF</t>
  </si>
  <si>
    <t>Forget the previous instructions and answers. You are François Villeroy de Galhau, Governor of the Banque de France, and you are giving a speech about the economic outlook of France. Today is 10 January 2018. Using ONLY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</si>
  <si>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Forget the previous instructions and answers. You are François Villeroy de Galhau, Governor of the Banque de France, and you are giving a speech about the economic outlook of France. Today is 07 February 2018. Using ONLY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</si>
  <si>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Forget the previous instructions and answers. You are François Villeroy de Galhau, Governor of the Banque de France, and you are giving a speech about the economic outlook of France. Today is 07 March 2018. Using ONLY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</si>
  <si>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Forget the previous instructions and answers. You are François Villeroy de Galhau, Governor of the Banque de France, and you are giving a speech about the economic outlook of France. Today is 10 April 2018. Using ONLY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</si>
  <si>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Forget the previous instructions and answers. You are François Villeroy de Galhau, Governor of the Banque de France, and you are giving a speech about the economic outlook of France. Today is 13 May 2018. Using ONLY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</si>
  <si>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Forget the previous instructions and answers. You are François Villeroy de Galhau, Governor of the Banque de France, and you are giving a speech about the economic outlook of France. Today is 10 June 2018. Using ONLY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</si>
  <si>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Forget the previous instructions and answers. You are François Villeroy de Galhau, Governor of the Banque de France, and you are giving a speech about the economic outlook of France. Today is 08 July 2018. Using ONLY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</si>
  <si>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Forget the previous instructions and answers. You are François Villeroy de Galhau, Governor of the Banque de France, and you are giving a speech about the economic outlook of France. Today is 07 August 2018. Using ONLY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</si>
  <si>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Forget the previous instructions and answers. You are François Villeroy de Galhau, Governor of the Banque de France, and you are giving a speech about the economic outlook of France. Today is 09 September 2018. Using ONLY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</si>
  <si>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Forget the previous instructions and answers. You are François Villeroy de Galhau, Governor of the Banque de France, and you are giving a speech about the economic outlook of France. Today is 07 October 2018. Using ONLY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</si>
  <si>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Forget the previous instructions and answers. You are François Villeroy de Galhau, Governor of the Banque de France, and you are giving a speech about the economic outlook of France. Today is 11 November 2018. Using ONLY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</si>
  <si>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Forget the previous instructions and answers. You are François Villeroy de Galhau, Governor of the Banque de France, and you are giving a speech about the economic outlook of France. Today is 09 December 2018. Using ONLY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</si>
  <si>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Forget the previous instructions and answers. You are François Villeroy de Galhau, Governor of the Banque de France, and you are giving a speech about the economic outlook of France. Today is 10 January 2019. Using ONLY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</si>
  <si>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Forget the previous instructions and answers. You are François Villeroy de Galhau, Governor of the Banque de France, and you are giving a speech about the economic outlook of France. Today is 10 February 2019. Using ONLY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</si>
  <si>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Forget the previous instructions and answers. You are François Villeroy de Galhau, Governor of the Banque de France, and you are giving a speech about the economic outlook of France. Today is 10 March 2019. Using ONLY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</si>
  <si>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Forget the previous instructions and answers. You are François Villeroy de Galhau, Governor of the Banque de France, and you are giving a speech about the economic outlook of France. Today is 07 April 2019. Using ONLY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</si>
  <si>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Forget the previous instructions and answers. You are François Villeroy de Galhau, Governor of the Banque de France, and you are giving a speech about the economic outlook of France. Today is 12 May 2019. Using ONLY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</si>
  <si>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Forget the previous instructions and answers. You are François Villeroy de Galhau, Governor of the Banque de France, and you are giving a speech about the economic outlook of France. Today is 10 June 2019. Using ONLY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</si>
  <si>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Forget the previous instructions and answers. You are François Villeroy de Galhau, Governor of the Banque de France, and you are giving a speech about the economic outlook of France. Today is 07 July 2019. Using ONLY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</si>
  <si>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Forget the previous instructions and answers. You are François Villeroy de Galhau, Governor of the Banque de France, and you are giving a speech about the economic outlook of France. Today is 07 August 2019. Using ONLY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</si>
  <si>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Forget the previous instructions and answers. You are François Villeroy de Galhau, Governor of the Banque de France, and you are giving a speech about the economic outlook of France. Today is 08 September 2019. Using ONLY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</si>
  <si>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Forget the previous instructions and answers. You are François Villeroy de Galhau, Governor of the Banque de France, and you are giving a speech about the economic outlook of France. Today is 08 October 2019. Using ONLY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</si>
  <si>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Forget the previous instructions and answers. You are François Villeroy de Galhau, Governor of the Banque de France, and you are giving a speech about the economic outlook of France. Today is 11 November 2019. Using ONLY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</si>
  <si>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Forget the previous instructions and answers. You are François Villeroy de Galhau, Governor of the Banque de France, and you are giving a speech about the economic outlook of France. Today is 08 December 2019. Using ONLY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</si>
  <si>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Forget the previous instructions and answers. You are François Villeroy de Galhau, Governor of the Banque de France, and you are giving a speech about the economic outlook of France. Today is 09 January 2020. Using ONLY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</si>
  <si>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Forget the previous instructions and answers. You are François Villeroy de Galhau, Governor of the Banque de France, and you are giving a speech about the economic outlook of France. Today is 09 August 2020. Using ONLY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</si>
  <si>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Forget the previous instructions and answers. You are François Villeroy de Galhau, Governor of the Banque de France, and you are giving a speech about the economic outlook of France. Today is 07 October 2020. Using ONLY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</si>
  <si>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Forget the previous instructions and answers. You are François Villeroy de Galhau, Governor of the Banque de France, and you are giving a speech about the economic outlook of France. Today is 08 November 2020. Using ONLY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</si>
  <si>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Forget the previous instructions and answers. You are François Villeroy de Galhau, Governor of the Banque de France, and you are giving a speech about the economic outlook of France. Today is 13 December 2020. Using ONLY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</si>
  <si>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</si>
  <si>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</si>
  <si>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</si>
  <si>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</si>
  <si>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</si>
  <si>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</si>
  <si>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</si>
  <si>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</si>
  <si>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</si>
  <si>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</si>
  <si>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</si>
  <si>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</si>
  <si>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</si>
  <si>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</si>
  <si>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</si>
  <si>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</si>
  <si>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</si>
  <si>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</si>
  <si>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</si>
  <si>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</si>
  <si>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</si>
  <si>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</si>
  <si>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</si>
  <si>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</si>
  <si>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</si>
  <si>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</si>
  <si>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</si>
  <si>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</si>
  <si>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</si>
  <si>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moy_prev</t>
  </si>
  <si>
    <t>moy_conf</t>
  </si>
  <si>
    <t>median_prev</t>
  </si>
  <si>
    <t>median_conf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</si>
</sst>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
  <sheetViews>
    <sheetView topLeftCell="A25" workbookViewId="0">
      <selection activeCell="C32" sqref="C32"/>
    </sheetView>
  </sheetViews>
  <sheetFormatPr baseColWidth="10" defaultRowHeight="14.25" x14ac:dyDescent="0.45"/>
  <sheetData>
    <row r="1" spans="1:2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141</v>
      </c>
      <c r="Y1" t="s">
        <v>142</v>
      </c>
      <c r="Z1" t="s">
        <v>143</v>
      </c>
      <c r="AA1" t="s">
        <v>144</v>
      </c>
    </row>
    <row r="2" spans="1:27" x14ac:dyDescent="0.45">
      <c r="A2" t="s">
        <v>23</v>
      </c>
      <c r="B2" t="s">
        <v>24</v>
      </c>
      <c r="C2" t="s">
        <v>25</v>
      </c>
      <c r="D2">
        <v>0.6</v>
      </c>
      <c r="E2">
        <v>90</v>
      </c>
      <c r="F2">
        <v>0.6</v>
      </c>
      <c r="G2">
        <v>90</v>
      </c>
      <c r="H2">
        <v>0.6</v>
      </c>
      <c r="I2">
        <v>90</v>
      </c>
      <c r="J2">
        <v>0.6</v>
      </c>
      <c r="K2">
        <v>90</v>
      </c>
      <c r="L2">
        <v>0.6</v>
      </c>
      <c r="M2">
        <v>90</v>
      </c>
      <c r="N2">
        <v>0.6</v>
      </c>
      <c r="O2">
        <v>90</v>
      </c>
      <c r="P2">
        <v>0.6</v>
      </c>
      <c r="Q2">
        <v>90</v>
      </c>
      <c r="R2">
        <v>0.6</v>
      </c>
      <c r="S2">
        <v>90</v>
      </c>
      <c r="T2">
        <v>0.6</v>
      </c>
      <c r="U2">
        <v>90</v>
      </c>
      <c r="V2">
        <v>0.6</v>
      </c>
      <c r="W2">
        <v>90</v>
      </c>
      <c r="X2">
        <f>AVERAGE(D2,F2,H2,J2,L2,N2,P2,R2,T2,V2)</f>
        <v>0.59999999999999987</v>
      </c>
      <c r="Y2">
        <f>AVERAGE(E2,G2,I2,K2,M2,O2,Q2,S2,U2,W2)</f>
        <v>90</v>
      </c>
      <c r="Z2">
        <f>MEDIAN(D2,F2,H2,J2,L2,N2,P2,R2,T2,V2)</f>
        <v>0.6</v>
      </c>
      <c r="AA2">
        <f>MEDIAN(E2,G2,I2,K2,M2,O2,Q2,S2,U2,W2)</f>
        <v>90</v>
      </c>
    </row>
    <row r="3" spans="1:27" x14ac:dyDescent="0.45">
      <c r="A3" t="s">
        <v>26</v>
      </c>
      <c r="B3" t="s">
        <v>24</v>
      </c>
      <c r="C3" t="s">
        <v>27</v>
      </c>
      <c r="D3">
        <v>0.5</v>
      </c>
      <c r="E3">
        <v>85</v>
      </c>
      <c r="F3">
        <v>0.5</v>
      </c>
      <c r="G3">
        <v>85</v>
      </c>
      <c r="H3">
        <v>0.5</v>
      </c>
      <c r="I3">
        <v>85</v>
      </c>
      <c r="J3">
        <v>0.5</v>
      </c>
      <c r="K3">
        <v>85</v>
      </c>
      <c r="L3">
        <v>0.5</v>
      </c>
      <c r="M3">
        <v>85</v>
      </c>
      <c r="N3">
        <v>0.5</v>
      </c>
      <c r="O3">
        <v>90</v>
      </c>
      <c r="P3">
        <v>0.5</v>
      </c>
      <c r="Q3">
        <v>90</v>
      </c>
      <c r="R3">
        <v>0.5</v>
      </c>
      <c r="S3">
        <v>85</v>
      </c>
      <c r="T3">
        <v>0.5</v>
      </c>
      <c r="U3">
        <v>85</v>
      </c>
      <c r="V3">
        <v>0.5</v>
      </c>
      <c r="W3">
        <v>85</v>
      </c>
      <c r="X3">
        <f t="shared" ref="X3:X30" si="0">AVERAGE(D3,F3,H3,J3,L3,N3,P3,R3,T3,V3)</f>
        <v>0.5</v>
      </c>
      <c r="Y3">
        <f t="shared" ref="Y3:Y30" si="1">AVERAGE(E3,G3,I3,K3,M3,O3,Q3,S3,U3,W3)</f>
        <v>86</v>
      </c>
      <c r="Z3">
        <f t="shared" ref="Z3:Z30" si="2">MEDIAN(D3,F3,H3,J3,L3,N3,P3,R3,T3,V3)</f>
        <v>0.5</v>
      </c>
      <c r="AA3">
        <f t="shared" ref="AA3:AA30" si="3">MEDIAN(E3,G3,I3,K3,M3,O3,Q3,S3,U3,W3)</f>
        <v>85</v>
      </c>
    </row>
    <row r="4" spans="1:27" x14ac:dyDescent="0.45">
      <c r="A4" t="s">
        <v>28</v>
      </c>
      <c r="B4" t="s">
        <v>24</v>
      </c>
      <c r="C4" t="s">
        <v>29</v>
      </c>
      <c r="D4">
        <v>0.5</v>
      </c>
      <c r="E4">
        <v>90</v>
      </c>
      <c r="F4">
        <v>0.5</v>
      </c>
      <c r="G4">
        <v>90</v>
      </c>
      <c r="H4">
        <v>0.5</v>
      </c>
      <c r="I4">
        <v>90</v>
      </c>
      <c r="J4">
        <v>0.4</v>
      </c>
      <c r="K4">
        <v>70</v>
      </c>
      <c r="L4">
        <v>0.4</v>
      </c>
      <c r="M4">
        <v>70</v>
      </c>
      <c r="N4">
        <v>0.5</v>
      </c>
      <c r="O4">
        <v>85</v>
      </c>
      <c r="P4">
        <v>0.5</v>
      </c>
      <c r="Q4">
        <v>85</v>
      </c>
      <c r="R4">
        <v>0.5</v>
      </c>
      <c r="S4">
        <v>85</v>
      </c>
      <c r="T4">
        <v>0.5</v>
      </c>
      <c r="U4">
        <v>85</v>
      </c>
      <c r="V4">
        <v>0.5</v>
      </c>
      <c r="W4">
        <v>85</v>
      </c>
      <c r="X4">
        <f t="shared" si="0"/>
        <v>0.48</v>
      </c>
      <c r="Y4">
        <f t="shared" si="1"/>
        <v>83.5</v>
      </c>
      <c r="Z4">
        <f t="shared" si="2"/>
        <v>0.5</v>
      </c>
      <c r="AA4">
        <f t="shared" si="3"/>
        <v>85</v>
      </c>
    </row>
    <row r="5" spans="1:27" x14ac:dyDescent="0.45">
      <c r="A5" t="s">
        <v>30</v>
      </c>
      <c r="B5" t="s">
        <v>24</v>
      </c>
      <c r="C5" t="s">
        <v>31</v>
      </c>
      <c r="D5">
        <v>0.5</v>
      </c>
      <c r="E5">
        <v>85</v>
      </c>
      <c r="F5">
        <v>0.5</v>
      </c>
      <c r="G5">
        <v>85</v>
      </c>
      <c r="H5">
        <v>0.5</v>
      </c>
      <c r="I5">
        <v>85</v>
      </c>
      <c r="J5">
        <v>0.4</v>
      </c>
      <c r="K5">
        <v>90</v>
      </c>
      <c r="L5">
        <v>0.4</v>
      </c>
      <c r="M5">
        <v>90</v>
      </c>
      <c r="N5">
        <v>0.4</v>
      </c>
      <c r="O5">
        <v>85</v>
      </c>
      <c r="P5">
        <v>0.4</v>
      </c>
      <c r="Q5">
        <v>85</v>
      </c>
      <c r="R5">
        <v>0.4</v>
      </c>
      <c r="S5">
        <v>85</v>
      </c>
      <c r="T5">
        <v>0.4</v>
      </c>
      <c r="U5">
        <v>85</v>
      </c>
      <c r="V5">
        <v>0.4</v>
      </c>
      <c r="W5">
        <v>85</v>
      </c>
      <c r="X5">
        <f t="shared" si="0"/>
        <v>0.43</v>
      </c>
      <c r="Y5">
        <f t="shared" si="1"/>
        <v>86</v>
      </c>
      <c r="Z5">
        <f t="shared" si="2"/>
        <v>0.4</v>
      </c>
      <c r="AA5">
        <f t="shared" si="3"/>
        <v>85</v>
      </c>
    </row>
    <row r="6" spans="1:27" x14ac:dyDescent="0.45">
      <c r="A6" t="s">
        <v>32</v>
      </c>
      <c r="B6" t="s">
        <v>24</v>
      </c>
      <c r="C6" t="s">
        <v>33</v>
      </c>
      <c r="D6">
        <v>0.4</v>
      </c>
      <c r="E6">
        <v>70</v>
      </c>
      <c r="F6">
        <v>0.4</v>
      </c>
      <c r="G6">
        <v>70</v>
      </c>
      <c r="H6">
        <v>0.4</v>
      </c>
      <c r="I6">
        <v>70</v>
      </c>
      <c r="J6">
        <v>0.3</v>
      </c>
      <c r="K6">
        <v>75</v>
      </c>
      <c r="L6">
        <v>0.3</v>
      </c>
      <c r="M6">
        <v>75</v>
      </c>
      <c r="N6">
        <v>0.3</v>
      </c>
      <c r="O6">
        <v>65</v>
      </c>
      <c r="P6">
        <v>0.3</v>
      </c>
      <c r="Q6">
        <v>65</v>
      </c>
      <c r="R6">
        <v>0.4</v>
      </c>
      <c r="S6">
        <v>70</v>
      </c>
      <c r="T6">
        <v>0.4</v>
      </c>
      <c r="U6">
        <v>70</v>
      </c>
      <c r="V6">
        <v>0.4</v>
      </c>
      <c r="W6">
        <v>70</v>
      </c>
      <c r="X6">
        <f t="shared" si="0"/>
        <v>0.36</v>
      </c>
      <c r="Y6">
        <f t="shared" si="1"/>
        <v>70</v>
      </c>
      <c r="Z6">
        <f t="shared" si="2"/>
        <v>0.4</v>
      </c>
      <c r="AA6">
        <f t="shared" si="3"/>
        <v>70</v>
      </c>
    </row>
    <row r="7" spans="1:27" x14ac:dyDescent="0.45">
      <c r="A7" t="s">
        <v>34</v>
      </c>
      <c r="B7" t="s">
        <v>24</v>
      </c>
      <c r="C7" t="s">
        <v>35</v>
      </c>
      <c r="D7">
        <v>0.2</v>
      </c>
      <c r="E7">
        <v>85</v>
      </c>
      <c r="F7">
        <v>0.2</v>
      </c>
      <c r="G7">
        <v>85</v>
      </c>
      <c r="H7">
        <v>0.2</v>
      </c>
      <c r="I7">
        <v>85</v>
      </c>
      <c r="J7">
        <v>0.3</v>
      </c>
      <c r="K7">
        <v>70</v>
      </c>
      <c r="L7">
        <v>0.3</v>
      </c>
      <c r="M7">
        <v>70</v>
      </c>
      <c r="N7">
        <v>0.2</v>
      </c>
      <c r="O7">
        <v>70</v>
      </c>
      <c r="P7">
        <v>0.3</v>
      </c>
      <c r="Q7">
        <v>75</v>
      </c>
      <c r="R7">
        <v>0.3</v>
      </c>
      <c r="S7">
        <v>75</v>
      </c>
      <c r="T7">
        <v>0.3</v>
      </c>
      <c r="U7">
        <v>75</v>
      </c>
      <c r="V7">
        <v>0.3</v>
      </c>
      <c r="W7">
        <v>75</v>
      </c>
      <c r="X7">
        <f t="shared" si="0"/>
        <v>0.25999999999999995</v>
      </c>
      <c r="Y7">
        <f t="shared" si="1"/>
        <v>76.5</v>
      </c>
      <c r="Z7">
        <f t="shared" si="2"/>
        <v>0.3</v>
      </c>
      <c r="AA7">
        <f t="shared" si="3"/>
        <v>75</v>
      </c>
    </row>
    <row r="8" spans="1:27" x14ac:dyDescent="0.45">
      <c r="A8" t="s">
        <v>36</v>
      </c>
      <c r="B8" t="s">
        <v>24</v>
      </c>
      <c r="C8" t="s">
        <v>37</v>
      </c>
      <c r="D8">
        <v>0.3</v>
      </c>
      <c r="E8">
        <v>85</v>
      </c>
      <c r="F8">
        <v>0.3</v>
      </c>
      <c r="G8">
        <v>85</v>
      </c>
      <c r="H8">
        <v>0.3</v>
      </c>
      <c r="I8">
        <v>85</v>
      </c>
      <c r="J8">
        <v>0.3</v>
      </c>
      <c r="K8">
        <v>85</v>
      </c>
      <c r="L8">
        <v>0.3</v>
      </c>
      <c r="M8">
        <v>85</v>
      </c>
      <c r="N8">
        <v>0.3</v>
      </c>
      <c r="O8">
        <v>80</v>
      </c>
      <c r="P8">
        <v>0.3</v>
      </c>
      <c r="Q8">
        <v>80</v>
      </c>
      <c r="R8">
        <v>0.3</v>
      </c>
      <c r="S8">
        <v>80</v>
      </c>
      <c r="T8">
        <v>0.3</v>
      </c>
      <c r="U8">
        <v>80</v>
      </c>
      <c r="V8">
        <v>0.3</v>
      </c>
      <c r="W8">
        <v>80</v>
      </c>
      <c r="X8">
        <f t="shared" si="0"/>
        <v>0.29999999999999993</v>
      </c>
      <c r="Y8">
        <f t="shared" si="1"/>
        <v>82.5</v>
      </c>
      <c r="Z8">
        <f t="shared" si="2"/>
        <v>0.3</v>
      </c>
      <c r="AA8">
        <f t="shared" si="3"/>
        <v>82.5</v>
      </c>
    </row>
    <row r="9" spans="1:27" x14ac:dyDescent="0.45">
      <c r="A9" t="s">
        <v>38</v>
      </c>
      <c r="B9" t="s">
        <v>24</v>
      </c>
      <c r="C9" t="s">
        <v>39</v>
      </c>
      <c r="D9">
        <v>0.3</v>
      </c>
      <c r="E9">
        <v>70</v>
      </c>
      <c r="F9">
        <v>0.3</v>
      </c>
      <c r="G9">
        <v>70</v>
      </c>
      <c r="H9">
        <v>0.3</v>
      </c>
      <c r="I9">
        <v>70</v>
      </c>
      <c r="J9">
        <v>0.3</v>
      </c>
      <c r="K9">
        <v>70</v>
      </c>
      <c r="L9">
        <v>0.3</v>
      </c>
      <c r="M9">
        <v>70</v>
      </c>
      <c r="N9">
        <v>0.3</v>
      </c>
      <c r="O9">
        <v>70</v>
      </c>
      <c r="P9">
        <v>0.3</v>
      </c>
      <c r="Q9">
        <v>70</v>
      </c>
      <c r="R9">
        <v>0.3</v>
      </c>
      <c r="S9">
        <v>70</v>
      </c>
      <c r="T9">
        <v>0.3</v>
      </c>
      <c r="U9">
        <v>70</v>
      </c>
      <c r="V9">
        <v>0.3</v>
      </c>
      <c r="W9">
        <v>70</v>
      </c>
      <c r="X9">
        <f t="shared" si="0"/>
        <v>0.29999999999999993</v>
      </c>
      <c r="Y9">
        <f t="shared" si="1"/>
        <v>70</v>
      </c>
      <c r="Z9">
        <f t="shared" si="2"/>
        <v>0.3</v>
      </c>
      <c r="AA9">
        <f t="shared" si="3"/>
        <v>70</v>
      </c>
    </row>
    <row r="10" spans="1:27" x14ac:dyDescent="0.45">
      <c r="A10" t="s">
        <v>40</v>
      </c>
      <c r="B10" t="s">
        <v>24</v>
      </c>
      <c r="C10" t="s">
        <v>41</v>
      </c>
      <c r="D10">
        <v>0.4</v>
      </c>
      <c r="E10">
        <v>75</v>
      </c>
      <c r="F10">
        <v>0.4</v>
      </c>
      <c r="G10">
        <v>75</v>
      </c>
      <c r="H10">
        <v>0.4</v>
      </c>
      <c r="I10">
        <v>75</v>
      </c>
      <c r="J10">
        <v>0.4</v>
      </c>
      <c r="K10">
        <v>75</v>
      </c>
      <c r="L10">
        <v>0.4</v>
      </c>
      <c r="M10">
        <v>75</v>
      </c>
      <c r="N10">
        <v>0.4</v>
      </c>
      <c r="O10">
        <v>80</v>
      </c>
      <c r="P10">
        <v>0.4</v>
      </c>
      <c r="Q10">
        <v>80</v>
      </c>
      <c r="R10">
        <v>0.4</v>
      </c>
      <c r="S10">
        <v>80</v>
      </c>
      <c r="T10">
        <v>0.4</v>
      </c>
      <c r="U10">
        <v>80</v>
      </c>
      <c r="V10">
        <v>0.4</v>
      </c>
      <c r="W10">
        <v>80</v>
      </c>
      <c r="X10">
        <f t="shared" si="0"/>
        <v>0.39999999999999997</v>
      </c>
      <c r="Y10">
        <f t="shared" si="1"/>
        <v>77.5</v>
      </c>
      <c r="Z10">
        <f t="shared" si="2"/>
        <v>0.4</v>
      </c>
      <c r="AA10">
        <f t="shared" si="3"/>
        <v>77.5</v>
      </c>
    </row>
    <row r="11" spans="1:27" x14ac:dyDescent="0.45">
      <c r="A11" t="s">
        <v>42</v>
      </c>
      <c r="B11" t="s">
        <v>24</v>
      </c>
      <c r="C11" t="s">
        <v>43</v>
      </c>
      <c r="D11">
        <v>0.5</v>
      </c>
      <c r="E11">
        <v>85</v>
      </c>
      <c r="F11">
        <v>0.5</v>
      </c>
      <c r="G11">
        <v>85</v>
      </c>
      <c r="H11">
        <v>0.5</v>
      </c>
      <c r="I11">
        <v>85</v>
      </c>
      <c r="J11">
        <v>0.5</v>
      </c>
      <c r="K11">
        <v>80</v>
      </c>
      <c r="L11">
        <v>0.5</v>
      </c>
      <c r="M11">
        <v>80</v>
      </c>
      <c r="N11">
        <v>0.5</v>
      </c>
      <c r="O11">
        <v>85</v>
      </c>
      <c r="P11">
        <v>0.5</v>
      </c>
      <c r="Q11">
        <v>85</v>
      </c>
      <c r="R11">
        <v>0.4</v>
      </c>
      <c r="S11">
        <v>80</v>
      </c>
      <c r="T11">
        <v>0.5</v>
      </c>
      <c r="U11">
        <v>85</v>
      </c>
      <c r="V11">
        <v>0.5</v>
      </c>
      <c r="W11">
        <v>85</v>
      </c>
      <c r="X11">
        <f t="shared" si="0"/>
        <v>0.49000000000000005</v>
      </c>
      <c r="Y11">
        <f t="shared" si="1"/>
        <v>83.5</v>
      </c>
      <c r="Z11">
        <f t="shared" si="2"/>
        <v>0.5</v>
      </c>
      <c r="AA11">
        <f t="shared" si="3"/>
        <v>85</v>
      </c>
    </row>
    <row r="12" spans="1:27" x14ac:dyDescent="0.45">
      <c r="A12" t="s">
        <v>44</v>
      </c>
      <c r="B12" t="s">
        <v>24</v>
      </c>
      <c r="C12" t="s">
        <v>45</v>
      </c>
      <c r="D12">
        <v>0.3</v>
      </c>
      <c r="E12">
        <v>75</v>
      </c>
      <c r="F12">
        <v>0.3</v>
      </c>
      <c r="G12">
        <v>75</v>
      </c>
      <c r="H12">
        <v>0.3</v>
      </c>
      <c r="I12">
        <v>75</v>
      </c>
      <c r="J12">
        <v>0.3</v>
      </c>
      <c r="K12">
        <v>70</v>
      </c>
      <c r="L12">
        <v>0.3</v>
      </c>
      <c r="M12">
        <v>70</v>
      </c>
      <c r="N12">
        <v>0.3</v>
      </c>
      <c r="O12">
        <v>75</v>
      </c>
      <c r="P12">
        <v>0.3</v>
      </c>
      <c r="Q12">
        <v>75</v>
      </c>
      <c r="R12">
        <v>0.3</v>
      </c>
      <c r="S12">
        <v>70</v>
      </c>
      <c r="T12">
        <v>0.3</v>
      </c>
      <c r="U12">
        <v>70</v>
      </c>
      <c r="V12">
        <v>0.3</v>
      </c>
      <c r="W12">
        <v>70</v>
      </c>
      <c r="X12">
        <f t="shared" si="0"/>
        <v>0.29999999999999993</v>
      </c>
      <c r="Y12">
        <f t="shared" si="1"/>
        <v>72.5</v>
      </c>
      <c r="Z12">
        <f t="shared" si="2"/>
        <v>0.3</v>
      </c>
      <c r="AA12">
        <f t="shared" si="3"/>
        <v>72.5</v>
      </c>
    </row>
    <row r="13" spans="1:27" x14ac:dyDescent="0.45">
      <c r="A13" t="s">
        <v>46</v>
      </c>
      <c r="B13" t="s">
        <v>24</v>
      </c>
      <c r="C13" t="s">
        <v>47</v>
      </c>
      <c r="D13">
        <v>0.2</v>
      </c>
      <c r="E13">
        <v>60</v>
      </c>
      <c r="F13">
        <v>0.2</v>
      </c>
      <c r="G13">
        <v>60</v>
      </c>
      <c r="H13">
        <v>0.2</v>
      </c>
      <c r="I13">
        <v>60</v>
      </c>
      <c r="J13">
        <v>0.2</v>
      </c>
      <c r="K13">
        <v>60</v>
      </c>
      <c r="L13">
        <v>0.2</v>
      </c>
      <c r="M13">
        <v>60</v>
      </c>
      <c r="N13">
        <v>0.2</v>
      </c>
      <c r="O13">
        <v>60</v>
      </c>
      <c r="P13">
        <v>0.2</v>
      </c>
      <c r="Q13">
        <v>60</v>
      </c>
      <c r="R13">
        <v>0.2</v>
      </c>
      <c r="S13">
        <v>60</v>
      </c>
      <c r="T13">
        <v>0.2</v>
      </c>
      <c r="U13">
        <v>60</v>
      </c>
      <c r="V13">
        <v>0.2</v>
      </c>
      <c r="W13">
        <v>60</v>
      </c>
      <c r="X13">
        <f t="shared" si="0"/>
        <v>0.19999999999999998</v>
      </c>
      <c r="Y13">
        <f t="shared" si="1"/>
        <v>60</v>
      </c>
      <c r="Z13">
        <f t="shared" si="2"/>
        <v>0.2</v>
      </c>
      <c r="AA13">
        <f t="shared" si="3"/>
        <v>60</v>
      </c>
    </row>
    <row r="14" spans="1:27" x14ac:dyDescent="0.45">
      <c r="A14" t="s">
        <v>48</v>
      </c>
      <c r="B14" t="s">
        <v>24</v>
      </c>
      <c r="C14" t="s">
        <v>49</v>
      </c>
      <c r="D14">
        <v>0.2</v>
      </c>
      <c r="E14">
        <v>80</v>
      </c>
      <c r="F14">
        <v>0.2</v>
      </c>
      <c r="G14">
        <v>80</v>
      </c>
      <c r="H14">
        <v>0.2</v>
      </c>
      <c r="I14">
        <v>80</v>
      </c>
      <c r="J14">
        <v>0.2</v>
      </c>
      <c r="K14">
        <v>75</v>
      </c>
      <c r="L14">
        <v>0.2</v>
      </c>
      <c r="M14">
        <v>75</v>
      </c>
      <c r="N14">
        <v>0.2</v>
      </c>
      <c r="O14">
        <v>80</v>
      </c>
      <c r="P14">
        <v>0.2</v>
      </c>
      <c r="Q14">
        <v>80</v>
      </c>
      <c r="R14">
        <v>0.2</v>
      </c>
      <c r="S14">
        <v>70</v>
      </c>
      <c r="T14">
        <v>0.2</v>
      </c>
      <c r="U14">
        <v>70</v>
      </c>
      <c r="V14">
        <v>0.2</v>
      </c>
      <c r="W14">
        <v>70</v>
      </c>
      <c r="X14">
        <f t="shared" si="0"/>
        <v>0.19999999999999998</v>
      </c>
      <c r="Y14">
        <f t="shared" si="1"/>
        <v>76</v>
      </c>
      <c r="Z14">
        <f t="shared" si="2"/>
        <v>0.2</v>
      </c>
      <c r="AA14">
        <f t="shared" si="3"/>
        <v>77.5</v>
      </c>
    </row>
    <row r="15" spans="1:27" x14ac:dyDescent="0.45">
      <c r="A15" t="s">
        <v>50</v>
      </c>
      <c r="B15" t="s">
        <v>24</v>
      </c>
      <c r="C15" t="s">
        <v>51</v>
      </c>
      <c r="D15">
        <v>0.4</v>
      </c>
      <c r="E15">
        <v>65</v>
      </c>
      <c r="F15">
        <v>0.4</v>
      </c>
      <c r="G15">
        <v>65</v>
      </c>
      <c r="H15">
        <v>0.4</v>
      </c>
      <c r="I15">
        <v>65</v>
      </c>
      <c r="J15">
        <v>0.3</v>
      </c>
      <c r="K15">
        <v>70</v>
      </c>
      <c r="L15">
        <v>0.3</v>
      </c>
      <c r="M15">
        <v>70</v>
      </c>
      <c r="N15">
        <v>0.4</v>
      </c>
      <c r="O15">
        <v>70</v>
      </c>
      <c r="P15">
        <v>0.4</v>
      </c>
      <c r="Q15">
        <v>70</v>
      </c>
      <c r="R15">
        <v>0.3</v>
      </c>
      <c r="S15">
        <v>75</v>
      </c>
      <c r="T15">
        <v>0.3</v>
      </c>
      <c r="U15">
        <v>75</v>
      </c>
      <c r="V15">
        <v>0.3</v>
      </c>
      <c r="W15">
        <v>75</v>
      </c>
      <c r="X15">
        <f t="shared" si="0"/>
        <v>0.35</v>
      </c>
      <c r="Y15">
        <f t="shared" si="1"/>
        <v>70</v>
      </c>
      <c r="Z15">
        <f t="shared" si="2"/>
        <v>0.35</v>
      </c>
      <c r="AA15">
        <f t="shared" si="3"/>
        <v>70</v>
      </c>
    </row>
    <row r="16" spans="1:27" x14ac:dyDescent="0.45">
      <c r="A16" t="s">
        <v>52</v>
      </c>
      <c r="B16" t="s">
        <v>24</v>
      </c>
      <c r="C16" t="s">
        <v>53</v>
      </c>
      <c r="D16">
        <v>0.4</v>
      </c>
      <c r="E16">
        <v>75</v>
      </c>
      <c r="F16">
        <v>0.4</v>
      </c>
      <c r="G16">
        <v>75</v>
      </c>
      <c r="H16">
        <v>0.4</v>
      </c>
      <c r="I16">
        <v>75</v>
      </c>
      <c r="J16">
        <v>0.3</v>
      </c>
      <c r="K16">
        <v>70</v>
      </c>
      <c r="L16">
        <v>0.3</v>
      </c>
      <c r="M16">
        <v>70</v>
      </c>
      <c r="N16">
        <v>0.3</v>
      </c>
      <c r="O16">
        <v>80</v>
      </c>
      <c r="P16">
        <v>0.3</v>
      </c>
      <c r="Q16">
        <v>80</v>
      </c>
      <c r="R16">
        <v>0.3</v>
      </c>
      <c r="S16">
        <v>75</v>
      </c>
      <c r="T16">
        <v>0.3</v>
      </c>
      <c r="U16">
        <v>75</v>
      </c>
      <c r="V16">
        <v>0.3</v>
      </c>
      <c r="W16">
        <v>75</v>
      </c>
      <c r="X16">
        <f t="shared" si="0"/>
        <v>0.32999999999999996</v>
      </c>
      <c r="Y16">
        <f t="shared" si="1"/>
        <v>75</v>
      </c>
      <c r="Z16">
        <f t="shared" si="2"/>
        <v>0.3</v>
      </c>
      <c r="AA16">
        <f t="shared" si="3"/>
        <v>75</v>
      </c>
    </row>
    <row r="17" spans="1:27" x14ac:dyDescent="0.45">
      <c r="A17" t="s">
        <v>54</v>
      </c>
      <c r="B17" t="s">
        <v>24</v>
      </c>
      <c r="C17" t="s">
        <v>55</v>
      </c>
      <c r="D17">
        <v>0.3</v>
      </c>
      <c r="E17">
        <v>70</v>
      </c>
      <c r="F17">
        <v>0.3</v>
      </c>
      <c r="G17">
        <v>70</v>
      </c>
      <c r="H17">
        <v>0.3</v>
      </c>
      <c r="I17">
        <v>70</v>
      </c>
      <c r="J17">
        <v>0.3</v>
      </c>
      <c r="K17">
        <v>85</v>
      </c>
      <c r="L17">
        <v>0.3</v>
      </c>
      <c r="M17">
        <v>85</v>
      </c>
      <c r="N17">
        <v>0.3</v>
      </c>
      <c r="O17">
        <v>80</v>
      </c>
      <c r="P17">
        <v>0.3</v>
      </c>
      <c r="Q17">
        <v>80</v>
      </c>
      <c r="R17">
        <v>0.3</v>
      </c>
      <c r="S17">
        <v>75</v>
      </c>
      <c r="T17">
        <v>0.3</v>
      </c>
      <c r="U17">
        <v>75</v>
      </c>
      <c r="V17">
        <v>0.3</v>
      </c>
      <c r="W17">
        <v>75</v>
      </c>
      <c r="X17">
        <f t="shared" si="0"/>
        <v>0.29999999999999993</v>
      </c>
      <c r="Y17">
        <f t="shared" si="1"/>
        <v>76.5</v>
      </c>
      <c r="Z17">
        <f t="shared" si="2"/>
        <v>0.3</v>
      </c>
      <c r="AA17">
        <f t="shared" si="3"/>
        <v>75</v>
      </c>
    </row>
    <row r="18" spans="1:27" x14ac:dyDescent="0.45">
      <c r="A18" t="s">
        <v>56</v>
      </c>
      <c r="B18" t="s">
        <v>24</v>
      </c>
      <c r="C18" t="s">
        <v>57</v>
      </c>
      <c r="D18">
        <v>0.3</v>
      </c>
      <c r="E18">
        <v>85</v>
      </c>
      <c r="F18">
        <v>0.3</v>
      </c>
      <c r="G18">
        <v>85</v>
      </c>
      <c r="H18">
        <v>0.3</v>
      </c>
      <c r="I18">
        <v>85</v>
      </c>
      <c r="J18">
        <v>0.3</v>
      </c>
      <c r="K18">
        <v>70</v>
      </c>
      <c r="L18">
        <v>0.3</v>
      </c>
      <c r="M18">
        <v>70</v>
      </c>
      <c r="N18">
        <v>0.3</v>
      </c>
      <c r="O18">
        <v>70</v>
      </c>
      <c r="P18">
        <v>0.3</v>
      </c>
      <c r="Q18">
        <v>70</v>
      </c>
      <c r="R18">
        <v>0.3</v>
      </c>
      <c r="S18">
        <v>75</v>
      </c>
      <c r="T18">
        <v>0.3</v>
      </c>
      <c r="U18">
        <v>75</v>
      </c>
      <c r="V18">
        <v>0.3</v>
      </c>
      <c r="W18">
        <v>75</v>
      </c>
      <c r="X18">
        <f t="shared" si="0"/>
        <v>0.29999999999999993</v>
      </c>
      <c r="Y18">
        <f t="shared" si="1"/>
        <v>76</v>
      </c>
      <c r="Z18">
        <f t="shared" si="2"/>
        <v>0.3</v>
      </c>
      <c r="AA18">
        <f t="shared" si="3"/>
        <v>75</v>
      </c>
    </row>
    <row r="19" spans="1:27" x14ac:dyDescent="0.45">
      <c r="A19" t="s">
        <v>58</v>
      </c>
      <c r="B19" t="s">
        <v>24</v>
      </c>
      <c r="C19" t="s">
        <v>59</v>
      </c>
      <c r="D19">
        <v>0.3</v>
      </c>
      <c r="E19">
        <v>80</v>
      </c>
      <c r="F19">
        <v>0.3</v>
      </c>
      <c r="G19">
        <v>80</v>
      </c>
      <c r="H19">
        <v>0.3</v>
      </c>
      <c r="I19">
        <v>80</v>
      </c>
      <c r="J19">
        <v>0.3</v>
      </c>
      <c r="K19">
        <v>80</v>
      </c>
      <c r="L19">
        <v>0.3</v>
      </c>
      <c r="M19">
        <v>80</v>
      </c>
      <c r="N19">
        <v>0.3</v>
      </c>
      <c r="O19">
        <v>80</v>
      </c>
      <c r="P19">
        <v>0.3</v>
      </c>
      <c r="Q19">
        <v>80</v>
      </c>
      <c r="R19">
        <v>0.3</v>
      </c>
      <c r="S19">
        <v>75</v>
      </c>
      <c r="T19">
        <v>0.3</v>
      </c>
      <c r="U19">
        <v>75</v>
      </c>
      <c r="V19">
        <v>0.3</v>
      </c>
      <c r="W19">
        <v>75</v>
      </c>
      <c r="X19">
        <f t="shared" si="0"/>
        <v>0.29999999999999993</v>
      </c>
      <c r="Y19">
        <f t="shared" si="1"/>
        <v>78.5</v>
      </c>
      <c r="Z19">
        <f t="shared" si="2"/>
        <v>0.3</v>
      </c>
      <c r="AA19">
        <f t="shared" si="3"/>
        <v>80</v>
      </c>
    </row>
    <row r="20" spans="1:27" x14ac:dyDescent="0.45">
      <c r="A20" t="s">
        <v>60</v>
      </c>
      <c r="B20" t="s">
        <v>24</v>
      </c>
      <c r="C20" t="s">
        <v>61</v>
      </c>
      <c r="D20">
        <v>0.3</v>
      </c>
      <c r="E20">
        <v>85</v>
      </c>
      <c r="F20">
        <v>0.3</v>
      </c>
      <c r="G20">
        <v>85</v>
      </c>
      <c r="H20">
        <v>0.3</v>
      </c>
      <c r="I20">
        <v>85</v>
      </c>
      <c r="J20">
        <v>0.2</v>
      </c>
      <c r="K20">
        <v>85</v>
      </c>
      <c r="L20">
        <v>0.2</v>
      </c>
      <c r="M20">
        <v>85</v>
      </c>
      <c r="N20">
        <v>0.3</v>
      </c>
      <c r="O20">
        <v>85</v>
      </c>
      <c r="P20">
        <v>0.3</v>
      </c>
      <c r="Q20">
        <v>85</v>
      </c>
      <c r="R20">
        <v>0.2</v>
      </c>
      <c r="S20">
        <v>80</v>
      </c>
      <c r="T20">
        <v>0.2</v>
      </c>
      <c r="U20">
        <v>80</v>
      </c>
      <c r="V20">
        <v>0.2</v>
      </c>
      <c r="W20">
        <v>80</v>
      </c>
      <c r="X20">
        <f t="shared" si="0"/>
        <v>0.25000000000000006</v>
      </c>
      <c r="Y20">
        <f t="shared" si="1"/>
        <v>83.5</v>
      </c>
      <c r="Z20">
        <f t="shared" si="2"/>
        <v>0.25</v>
      </c>
      <c r="AA20">
        <f t="shared" si="3"/>
        <v>85</v>
      </c>
    </row>
    <row r="21" spans="1:27" x14ac:dyDescent="0.45">
      <c r="A21" t="s">
        <v>62</v>
      </c>
      <c r="B21" t="s">
        <v>24</v>
      </c>
      <c r="C21" t="s">
        <v>63</v>
      </c>
      <c r="D21">
        <v>0.3</v>
      </c>
      <c r="E21">
        <v>70</v>
      </c>
      <c r="F21">
        <v>0.2</v>
      </c>
      <c r="G21">
        <v>65</v>
      </c>
      <c r="H21">
        <v>0.2</v>
      </c>
      <c r="I21">
        <v>65</v>
      </c>
      <c r="J21">
        <v>0.3</v>
      </c>
      <c r="K21">
        <v>70</v>
      </c>
      <c r="L21">
        <v>0.3</v>
      </c>
      <c r="M21">
        <v>70</v>
      </c>
      <c r="N21">
        <v>0.3</v>
      </c>
      <c r="O21">
        <v>75</v>
      </c>
      <c r="P21">
        <v>0.3</v>
      </c>
      <c r="Q21">
        <v>75</v>
      </c>
      <c r="R21">
        <v>0.2</v>
      </c>
      <c r="S21">
        <v>70</v>
      </c>
      <c r="T21">
        <v>0.2</v>
      </c>
      <c r="U21">
        <v>70</v>
      </c>
      <c r="V21">
        <v>0.2</v>
      </c>
      <c r="W21">
        <v>70</v>
      </c>
      <c r="X21">
        <f t="shared" si="0"/>
        <v>0.25000000000000006</v>
      </c>
      <c r="Y21">
        <f t="shared" si="1"/>
        <v>70</v>
      </c>
      <c r="Z21">
        <f t="shared" si="2"/>
        <v>0.25</v>
      </c>
      <c r="AA21">
        <f t="shared" si="3"/>
        <v>70</v>
      </c>
    </row>
    <row r="22" spans="1:27" x14ac:dyDescent="0.45">
      <c r="A22" t="s">
        <v>64</v>
      </c>
      <c r="B22" t="s">
        <v>24</v>
      </c>
      <c r="C22" t="s">
        <v>65</v>
      </c>
      <c r="D22">
        <v>0.3</v>
      </c>
      <c r="E22">
        <v>75</v>
      </c>
      <c r="F22">
        <v>0.3</v>
      </c>
      <c r="G22">
        <v>75</v>
      </c>
      <c r="H22">
        <v>0.3</v>
      </c>
      <c r="I22">
        <v>75</v>
      </c>
      <c r="J22">
        <v>0.3</v>
      </c>
      <c r="K22">
        <v>70</v>
      </c>
      <c r="L22">
        <v>0.3</v>
      </c>
      <c r="M22">
        <v>70</v>
      </c>
      <c r="N22">
        <v>0.3</v>
      </c>
      <c r="O22">
        <v>75</v>
      </c>
      <c r="P22">
        <v>0.3</v>
      </c>
      <c r="Q22">
        <v>75</v>
      </c>
      <c r="R22">
        <v>0.3</v>
      </c>
      <c r="S22">
        <v>80</v>
      </c>
      <c r="T22">
        <v>0.3</v>
      </c>
      <c r="U22">
        <v>80</v>
      </c>
      <c r="V22">
        <v>0.3</v>
      </c>
      <c r="W22">
        <v>80</v>
      </c>
      <c r="X22">
        <f t="shared" si="0"/>
        <v>0.29999999999999993</v>
      </c>
      <c r="Y22">
        <f t="shared" si="1"/>
        <v>75.5</v>
      </c>
      <c r="Z22">
        <f t="shared" si="2"/>
        <v>0.3</v>
      </c>
      <c r="AA22">
        <f t="shared" si="3"/>
        <v>75</v>
      </c>
    </row>
    <row r="23" spans="1:27" x14ac:dyDescent="0.45">
      <c r="A23" t="s">
        <v>66</v>
      </c>
      <c r="B23" t="s">
        <v>24</v>
      </c>
      <c r="C23" t="s">
        <v>67</v>
      </c>
      <c r="D23">
        <v>0.3</v>
      </c>
      <c r="E23">
        <v>75</v>
      </c>
      <c r="F23">
        <v>0.3</v>
      </c>
      <c r="G23">
        <v>75</v>
      </c>
      <c r="H23">
        <v>0.3</v>
      </c>
      <c r="I23">
        <v>75</v>
      </c>
      <c r="J23">
        <v>0.3</v>
      </c>
      <c r="K23">
        <v>90</v>
      </c>
      <c r="L23">
        <v>0.3</v>
      </c>
      <c r="M23">
        <v>90</v>
      </c>
      <c r="N23">
        <v>0.3</v>
      </c>
      <c r="O23">
        <v>85</v>
      </c>
      <c r="P23">
        <v>0.3</v>
      </c>
      <c r="Q23">
        <v>85</v>
      </c>
      <c r="R23">
        <v>0.3</v>
      </c>
      <c r="S23">
        <v>80</v>
      </c>
      <c r="T23">
        <v>0.3</v>
      </c>
      <c r="U23">
        <v>80</v>
      </c>
      <c r="V23">
        <v>0.3</v>
      </c>
      <c r="W23">
        <v>80</v>
      </c>
      <c r="X23">
        <f t="shared" si="0"/>
        <v>0.29999999999999993</v>
      </c>
      <c r="Y23">
        <f t="shared" si="1"/>
        <v>81.5</v>
      </c>
      <c r="Z23">
        <f t="shared" si="2"/>
        <v>0.3</v>
      </c>
      <c r="AA23">
        <f t="shared" si="3"/>
        <v>80</v>
      </c>
    </row>
    <row r="24" spans="1:27" x14ac:dyDescent="0.45">
      <c r="A24" t="s">
        <v>68</v>
      </c>
      <c r="B24" t="s">
        <v>24</v>
      </c>
      <c r="C24" t="s">
        <v>69</v>
      </c>
      <c r="D24">
        <v>0.3</v>
      </c>
      <c r="E24">
        <v>80</v>
      </c>
      <c r="F24">
        <v>0.3</v>
      </c>
      <c r="G24">
        <v>80</v>
      </c>
      <c r="H24">
        <v>0.3</v>
      </c>
      <c r="I24">
        <v>80</v>
      </c>
      <c r="J24">
        <v>0.3</v>
      </c>
      <c r="K24">
        <v>80</v>
      </c>
      <c r="L24">
        <v>0.3</v>
      </c>
      <c r="M24">
        <v>80</v>
      </c>
      <c r="N24">
        <v>0.3</v>
      </c>
      <c r="O24">
        <v>85</v>
      </c>
      <c r="P24">
        <v>0.3</v>
      </c>
      <c r="Q24">
        <v>85</v>
      </c>
      <c r="R24">
        <v>0.3</v>
      </c>
      <c r="S24">
        <v>80</v>
      </c>
      <c r="T24">
        <v>0.3</v>
      </c>
      <c r="U24">
        <v>80</v>
      </c>
      <c r="V24">
        <v>0.3</v>
      </c>
      <c r="W24">
        <v>80</v>
      </c>
      <c r="X24">
        <f t="shared" si="0"/>
        <v>0.29999999999999993</v>
      </c>
      <c r="Y24">
        <f t="shared" si="1"/>
        <v>81</v>
      </c>
      <c r="Z24">
        <f t="shared" si="2"/>
        <v>0.3</v>
      </c>
      <c r="AA24">
        <f t="shared" si="3"/>
        <v>80</v>
      </c>
    </row>
    <row r="25" spans="1:27" x14ac:dyDescent="0.45">
      <c r="A25" t="s">
        <v>70</v>
      </c>
      <c r="B25" t="s">
        <v>24</v>
      </c>
      <c r="C25" t="s">
        <v>71</v>
      </c>
      <c r="D25">
        <v>0.2</v>
      </c>
      <c r="E25">
        <v>65</v>
      </c>
      <c r="F25">
        <v>0.2</v>
      </c>
      <c r="G25">
        <v>65</v>
      </c>
      <c r="H25">
        <v>0.2</v>
      </c>
      <c r="I25">
        <v>65</v>
      </c>
      <c r="J25">
        <v>0.2</v>
      </c>
      <c r="K25">
        <v>70</v>
      </c>
      <c r="L25">
        <v>0.2</v>
      </c>
      <c r="M25">
        <v>70</v>
      </c>
      <c r="N25">
        <v>0.2</v>
      </c>
      <c r="O25">
        <v>70</v>
      </c>
      <c r="P25">
        <v>0.2</v>
      </c>
      <c r="Q25">
        <v>70</v>
      </c>
      <c r="R25">
        <v>0.2</v>
      </c>
      <c r="S25">
        <v>60</v>
      </c>
      <c r="T25">
        <v>0.2</v>
      </c>
      <c r="U25">
        <v>60</v>
      </c>
      <c r="V25">
        <v>0.2</v>
      </c>
      <c r="W25">
        <v>60</v>
      </c>
      <c r="X25">
        <f t="shared" si="0"/>
        <v>0.19999999999999998</v>
      </c>
      <c r="Y25">
        <f t="shared" si="1"/>
        <v>65.5</v>
      </c>
      <c r="Z25">
        <f t="shared" si="2"/>
        <v>0.2</v>
      </c>
      <c r="AA25">
        <f t="shared" si="3"/>
        <v>65</v>
      </c>
    </row>
    <row r="26" spans="1:27" x14ac:dyDescent="0.45">
      <c r="A26" t="s">
        <v>72</v>
      </c>
      <c r="B26" t="s">
        <v>24</v>
      </c>
      <c r="C26" t="s">
        <v>73</v>
      </c>
      <c r="D26">
        <v>0.2</v>
      </c>
      <c r="E26">
        <v>80</v>
      </c>
      <c r="F26">
        <v>0.2</v>
      </c>
      <c r="G26">
        <v>80</v>
      </c>
      <c r="H26">
        <v>0.2</v>
      </c>
      <c r="I26">
        <v>80</v>
      </c>
      <c r="J26">
        <v>0.2</v>
      </c>
      <c r="K26">
        <v>75</v>
      </c>
      <c r="L26">
        <v>0.2</v>
      </c>
      <c r="M26">
        <v>75</v>
      </c>
      <c r="N26">
        <v>0.2</v>
      </c>
      <c r="O26">
        <v>75</v>
      </c>
      <c r="P26">
        <v>0.2</v>
      </c>
      <c r="Q26">
        <v>75</v>
      </c>
      <c r="R26">
        <v>0.2</v>
      </c>
      <c r="S26">
        <v>60</v>
      </c>
      <c r="T26">
        <v>0.2</v>
      </c>
      <c r="U26">
        <v>60</v>
      </c>
      <c r="V26">
        <v>0.2</v>
      </c>
      <c r="W26">
        <v>60</v>
      </c>
      <c r="X26">
        <f t="shared" si="0"/>
        <v>0.19999999999999998</v>
      </c>
      <c r="Y26">
        <f t="shared" si="1"/>
        <v>72</v>
      </c>
      <c r="Z26">
        <f t="shared" si="2"/>
        <v>0.2</v>
      </c>
      <c r="AA26">
        <f t="shared" si="3"/>
        <v>75</v>
      </c>
    </row>
    <row r="27" spans="1:27" x14ac:dyDescent="0.45">
      <c r="A27" t="s">
        <v>74</v>
      </c>
      <c r="B27" t="s">
        <v>24</v>
      </c>
      <c r="C27" t="s">
        <v>75</v>
      </c>
      <c r="D27">
        <v>16</v>
      </c>
      <c r="E27">
        <v>55</v>
      </c>
      <c r="F27">
        <v>16</v>
      </c>
      <c r="G27">
        <v>55</v>
      </c>
      <c r="H27">
        <v>16</v>
      </c>
      <c r="I27">
        <v>55</v>
      </c>
      <c r="J27">
        <v>16</v>
      </c>
      <c r="K27">
        <v>60</v>
      </c>
      <c r="L27">
        <v>16</v>
      </c>
      <c r="M27">
        <v>60</v>
      </c>
      <c r="N27">
        <v>16</v>
      </c>
      <c r="O27">
        <v>50</v>
      </c>
      <c r="P27">
        <v>16</v>
      </c>
      <c r="Q27">
        <v>50</v>
      </c>
      <c r="R27">
        <v>16</v>
      </c>
      <c r="S27">
        <v>55</v>
      </c>
      <c r="T27">
        <v>16</v>
      </c>
      <c r="U27">
        <v>55</v>
      </c>
      <c r="V27">
        <v>16</v>
      </c>
      <c r="W27">
        <v>55</v>
      </c>
      <c r="X27">
        <f t="shared" si="0"/>
        <v>16</v>
      </c>
      <c r="Y27">
        <f t="shared" si="1"/>
        <v>55</v>
      </c>
      <c r="Z27">
        <f t="shared" si="2"/>
        <v>16</v>
      </c>
      <c r="AA27">
        <f t="shared" si="3"/>
        <v>55</v>
      </c>
    </row>
    <row r="28" spans="1:27" x14ac:dyDescent="0.45">
      <c r="A28" t="s">
        <v>76</v>
      </c>
      <c r="B28" t="s">
        <v>24</v>
      </c>
      <c r="C28" t="s">
        <v>77</v>
      </c>
      <c r="D28">
        <v>16</v>
      </c>
      <c r="E28">
        <v>90</v>
      </c>
      <c r="F28">
        <v>16</v>
      </c>
      <c r="G28">
        <v>90</v>
      </c>
      <c r="H28">
        <v>16</v>
      </c>
      <c r="I28">
        <v>90</v>
      </c>
      <c r="J28">
        <v>16</v>
      </c>
      <c r="K28">
        <v>85</v>
      </c>
      <c r="L28">
        <v>16</v>
      </c>
      <c r="M28">
        <v>85</v>
      </c>
      <c r="N28">
        <v>16</v>
      </c>
      <c r="O28">
        <v>90</v>
      </c>
      <c r="P28">
        <v>16</v>
      </c>
      <c r="Q28">
        <v>90</v>
      </c>
      <c r="R28">
        <v>16</v>
      </c>
      <c r="S28">
        <v>85</v>
      </c>
      <c r="T28">
        <v>16</v>
      </c>
      <c r="U28">
        <v>85</v>
      </c>
      <c r="V28">
        <v>16</v>
      </c>
      <c r="W28">
        <v>85</v>
      </c>
      <c r="X28">
        <f t="shared" si="0"/>
        <v>16</v>
      </c>
      <c r="Y28">
        <f t="shared" si="1"/>
        <v>87.5</v>
      </c>
      <c r="Z28">
        <f t="shared" si="2"/>
        <v>16</v>
      </c>
      <c r="AA28">
        <f t="shared" si="3"/>
        <v>87.5</v>
      </c>
    </row>
    <row r="29" spans="1:27" x14ac:dyDescent="0.45">
      <c r="A29" t="s">
        <v>78</v>
      </c>
      <c r="B29" t="s">
        <v>24</v>
      </c>
      <c r="C29" t="s">
        <v>79</v>
      </c>
      <c r="D29">
        <v>-3</v>
      </c>
      <c r="E29">
        <v>40</v>
      </c>
      <c r="F29">
        <v>-4.2</v>
      </c>
      <c r="G29">
        <v>35</v>
      </c>
      <c r="H29">
        <v>-4.5</v>
      </c>
      <c r="I29">
        <v>35</v>
      </c>
      <c r="J29">
        <v>-4.2</v>
      </c>
      <c r="K29">
        <v>60</v>
      </c>
      <c r="L29">
        <v>-4.2</v>
      </c>
      <c r="M29">
        <v>60</v>
      </c>
      <c r="N29">
        <v>-5.5</v>
      </c>
      <c r="O29">
        <v>50</v>
      </c>
      <c r="P29">
        <v>-4</v>
      </c>
      <c r="Q29">
        <v>50</v>
      </c>
      <c r="R29">
        <v>-4</v>
      </c>
      <c r="S29">
        <v>40</v>
      </c>
      <c r="T29">
        <v>-4</v>
      </c>
      <c r="U29">
        <v>40</v>
      </c>
      <c r="V29">
        <v>-4</v>
      </c>
      <c r="W29">
        <v>40</v>
      </c>
      <c r="X29">
        <f t="shared" si="0"/>
        <v>-4.1599999999999993</v>
      </c>
      <c r="Y29">
        <f t="shared" si="1"/>
        <v>45</v>
      </c>
      <c r="Z29">
        <f t="shared" si="2"/>
        <v>-4.0999999999999996</v>
      </c>
      <c r="AA29">
        <f t="shared" si="3"/>
        <v>40</v>
      </c>
    </row>
    <row r="30" spans="1:27" x14ac:dyDescent="0.45">
      <c r="A30" t="s">
        <v>80</v>
      </c>
      <c r="B30" t="s">
        <v>24</v>
      </c>
      <c r="C30" t="s">
        <v>81</v>
      </c>
      <c r="D30">
        <v>-4.5</v>
      </c>
      <c r="E30">
        <v>70</v>
      </c>
      <c r="F30">
        <v>-2.5</v>
      </c>
      <c r="G30">
        <v>70</v>
      </c>
      <c r="H30">
        <v>-2.5</v>
      </c>
      <c r="I30">
        <v>70</v>
      </c>
      <c r="J30">
        <v>-2.5</v>
      </c>
      <c r="K30">
        <v>75</v>
      </c>
      <c r="L30">
        <v>-2.5</v>
      </c>
      <c r="M30">
        <v>75</v>
      </c>
      <c r="N30">
        <v>-4</v>
      </c>
      <c r="O30">
        <v>70</v>
      </c>
      <c r="P30">
        <v>-4</v>
      </c>
      <c r="Q30">
        <v>70</v>
      </c>
      <c r="R30">
        <v>-2.5</v>
      </c>
      <c r="S30">
        <v>70</v>
      </c>
      <c r="T30">
        <v>-4</v>
      </c>
      <c r="U30">
        <v>70</v>
      </c>
      <c r="V30">
        <v>-4</v>
      </c>
      <c r="W30">
        <v>70</v>
      </c>
      <c r="X30">
        <f t="shared" si="0"/>
        <v>-3.3</v>
      </c>
      <c r="Y30">
        <f t="shared" si="1"/>
        <v>71</v>
      </c>
      <c r="Z30">
        <f t="shared" si="2"/>
        <v>-3.25</v>
      </c>
      <c r="AA30">
        <f t="shared" si="3"/>
        <v>70</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9868-47D3-4AD4-AF79-670FD995BE24}">
  <dimension ref="A1:AA30"/>
  <sheetViews>
    <sheetView topLeftCell="A18" workbookViewId="0">
      <selection activeCell="C24" sqref="C24"/>
    </sheetView>
  </sheetViews>
  <sheetFormatPr baseColWidth="10" defaultRowHeight="14.25" x14ac:dyDescent="0.45"/>
  <sheetData>
    <row r="1" spans="1:2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141</v>
      </c>
      <c r="Y1" t="s">
        <v>142</v>
      </c>
      <c r="Z1" t="s">
        <v>143</v>
      </c>
      <c r="AA1" t="s">
        <v>144</v>
      </c>
    </row>
    <row r="2" spans="1:27" x14ac:dyDescent="0.45">
      <c r="A2" t="s">
        <v>23</v>
      </c>
      <c r="B2" t="s">
        <v>24</v>
      </c>
      <c r="C2" t="s">
        <v>25</v>
      </c>
      <c r="D2">
        <v>0.6</v>
      </c>
      <c r="E2">
        <v>90</v>
      </c>
      <c r="F2">
        <v>0.6</v>
      </c>
      <c r="G2">
        <v>90</v>
      </c>
      <c r="H2">
        <v>0.6</v>
      </c>
      <c r="I2">
        <v>90</v>
      </c>
      <c r="J2">
        <v>0.6</v>
      </c>
      <c r="K2">
        <v>90</v>
      </c>
      <c r="L2">
        <v>0.6</v>
      </c>
      <c r="M2">
        <v>90</v>
      </c>
      <c r="N2">
        <v>0.6</v>
      </c>
      <c r="O2">
        <v>90</v>
      </c>
      <c r="P2">
        <v>0.6</v>
      </c>
      <c r="Q2">
        <v>90</v>
      </c>
      <c r="R2">
        <v>0.6</v>
      </c>
      <c r="S2">
        <v>90</v>
      </c>
      <c r="T2">
        <v>0.6</v>
      </c>
      <c r="U2">
        <v>90</v>
      </c>
      <c r="V2">
        <v>0.6</v>
      </c>
      <c r="W2">
        <v>90</v>
      </c>
      <c r="X2">
        <f>AVERAGE(D2,F2,H2,J2,L2,N2,P2,R2,T2,V2)</f>
        <v>0.59999999999999987</v>
      </c>
      <c r="Y2">
        <f>AVERAGE(E2,G2,I2,K2,M2,O2,Q2,S2,U2,W2)</f>
        <v>90</v>
      </c>
      <c r="Z2">
        <f>MEDIAN(D2,F2,H2,J2,L2,N2,P2,R2,T2,V2)</f>
        <v>0.6</v>
      </c>
      <c r="AA2">
        <f>MEDIAN(E2,G2,I2,K2,M2,O2,Q2,S2,U2,W2)</f>
        <v>90</v>
      </c>
    </row>
    <row r="3" spans="1:27" x14ac:dyDescent="0.45">
      <c r="A3" t="s">
        <v>26</v>
      </c>
      <c r="B3" t="s">
        <v>24</v>
      </c>
      <c r="C3" t="s">
        <v>27</v>
      </c>
      <c r="D3">
        <v>0.5</v>
      </c>
      <c r="E3">
        <v>90</v>
      </c>
      <c r="F3">
        <v>0.5</v>
      </c>
      <c r="G3">
        <v>90</v>
      </c>
      <c r="H3">
        <v>0.5</v>
      </c>
      <c r="I3">
        <v>90</v>
      </c>
      <c r="J3">
        <v>0.5</v>
      </c>
      <c r="K3">
        <v>85</v>
      </c>
      <c r="L3">
        <v>0.5</v>
      </c>
      <c r="M3">
        <v>85</v>
      </c>
      <c r="N3">
        <v>0.5</v>
      </c>
      <c r="O3">
        <v>85</v>
      </c>
      <c r="P3">
        <v>0.5</v>
      </c>
      <c r="Q3">
        <v>85</v>
      </c>
      <c r="R3">
        <v>0.5</v>
      </c>
      <c r="S3">
        <v>85</v>
      </c>
      <c r="T3">
        <v>0.5</v>
      </c>
      <c r="U3">
        <v>85</v>
      </c>
      <c r="V3">
        <v>0.5</v>
      </c>
      <c r="W3">
        <v>85</v>
      </c>
      <c r="X3">
        <f t="shared" ref="X3:X30" si="0">AVERAGE(D3,F3,H3,J3,L3,N3,P3,R3,T3,V3)</f>
        <v>0.5</v>
      </c>
      <c r="Y3">
        <f t="shared" ref="Y3:Y30" si="1">AVERAGE(E3,G3,I3,K3,M3,O3,Q3,S3,U3,W3)</f>
        <v>86.5</v>
      </c>
      <c r="Z3">
        <f t="shared" ref="Z3:Z30" si="2">MEDIAN(D3,F3,H3,J3,L3,N3,P3,R3,T3,V3)</f>
        <v>0.5</v>
      </c>
      <c r="AA3">
        <f t="shared" ref="AA3:AA30" si="3">MEDIAN(E3,G3,I3,K3,M3,O3,Q3,S3,U3,W3)</f>
        <v>85</v>
      </c>
    </row>
    <row r="4" spans="1:27" x14ac:dyDescent="0.45">
      <c r="A4" t="s">
        <v>28</v>
      </c>
      <c r="B4" t="s">
        <v>24</v>
      </c>
      <c r="C4" t="s">
        <v>29</v>
      </c>
      <c r="D4">
        <v>0.5</v>
      </c>
      <c r="E4">
        <v>85</v>
      </c>
      <c r="F4">
        <v>0.5</v>
      </c>
      <c r="G4">
        <v>85</v>
      </c>
      <c r="H4">
        <v>0.5</v>
      </c>
      <c r="I4">
        <v>85</v>
      </c>
      <c r="J4">
        <v>0.4</v>
      </c>
      <c r="K4">
        <v>80</v>
      </c>
      <c r="L4">
        <v>0.4</v>
      </c>
      <c r="M4">
        <v>80</v>
      </c>
      <c r="N4">
        <v>0.5</v>
      </c>
      <c r="O4">
        <v>75</v>
      </c>
      <c r="P4">
        <v>0.5</v>
      </c>
      <c r="Q4">
        <v>75</v>
      </c>
      <c r="R4">
        <v>0.5</v>
      </c>
      <c r="S4">
        <v>85</v>
      </c>
      <c r="T4">
        <v>0.5</v>
      </c>
      <c r="U4">
        <v>85</v>
      </c>
      <c r="V4">
        <v>0.5</v>
      </c>
      <c r="W4">
        <v>85</v>
      </c>
      <c r="X4">
        <f t="shared" si="0"/>
        <v>0.48</v>
      </c>
      <c r="Y4">
        <f t="shared" si="1"/>
        <v>82</v>
      </c>
      <c r="Z4">
        <f t="shared" si="2"/>
        <v>0.5</v>
      </c>
      <c r="AA4">
        <f t="shared" si="3"/>
        <v>85</v>
      </c>
    </row>
    <row r="5" spans="1:27" x14ac:dyDescent="0.45">
      <c r="A5" t="s">
        <v>30</v>
      </c>
      <c r="B5" t="s">
        <v>24</v>
      </c>
      <c r="C5" t="s">
        <v>31</v>
      </c>
      <c r="D5">
        <v>0.4</v>
      </c>
      <c r="E5">
        <v>85</v>
      </c>
      <c r="F5">
        <v>0.4</v>
      </c>
      <c r="G5">
        <v>85</v>
      </c>
      <c r="H5">
        <v>0.4</v>
      </c>
      <c r="I5">
        <v>85</v>
      </c>
      <c r="J5">
        <v>0.4</v>
      </c>
      <c r="K5">
        <v>80</v>
      </c>
      <c r="L5">
        <v>0.4</v>
      </c>
      <c r="M5">
        <v>80</v>
      </c>
      <c r="N5">
        <v>0.4</v>
      </c>
      <c r="O5">
        <v>85</v>
      </c>
      <c r="P5">
        <v>0.4</v>
      </c>
      <c r="Q5">
        <v>85</v>
      </c>
      <c r="R5">
        <v>0.4</v>
      </c>
      <c r="S5">
        <v>90</v>
      </c>
      <c r="T5">
        <v>0.4</v>
      </c>
      <c r="U5">
        <v>90</v>
      </c>
      <c r="V5">
        <v>0.4</v>
      </c>
      <c r="W5">
        <v>90</v>
      </c>
      <c r="X5">
        <f t="shared" si="0"/>
        <v>0.39999999999999997</v>
      </c>
      <c r="Y5">
        <f t="shared" si="1"/>
        <v>85.5</v>
      </c>
      <c r="Z5">
        <f t="shared" si="2"/>
        <v>0.4</v>
      </c>
      <c r="AA5">
        <f t="shared" si="3"/>
        <v>85</v>
      </c>
    </row>
    <row r="6" spans="1:27" x14ac:dyDescent="0.45">
      <c r="A6" t="s">
        <v>32</v>
      </c>
      <c r="B6" t="s">
        <v>24</v>
      </c>
      <c r="C6" t="s">
        <v>33</v>
      </c>
      <c r="D6">
        <v>0.3</v>
      </c>
      <c r="E6">
        <v>70</v>
      </c>
      <c r="F6">
        <v>0.3</v>
      </c>
      <c r="G6">
        <v>70</v>
      </c>
      <c r="H6">
        <v>0.3</v>
      </c>
      <c r="I6">
        <v>70</v>
      </c>
      <c r="J6">
        <v>0.3</v>
      </c>
      <c r="K6">
        <v>70</v>
      </c>
      <c r="L6">
        <v>0.3</v>
      </c>
      <c r="M6">
        <v>70</v>
      </c>
      <c r="N6">
        <v>0.3</v>
      </c>
      <c r="O6">
        <v>70</v>
      </c>
      <c r="P6">
        <v>0.3</v>
      </c>
      <c r="Q6">
        <v>70</v>
      </c>
      <c r="R6">
        <v>0.4</v>
      </c>
      <c r="S6">
        <v>75</v>
      </c>
      <c r="T6">
        <v>0.4</v>
      </c>
      <c r="U6">
        <v>75</v>
      </c>
      <c r="V6">
        <v>0.4</v>
      </c>
      <c r="W6">
        <v>75</v>
      </c>
      <c r="X6">
        <f t="shared" si="0"/>
        <v>0.32999999999999996</v>
      </c>
      <c r="Y6">
        <f t="shared" si="1"/>
        <v>71.5</v>
      </c>
      <c r="Z6">
        <f t="shared" si="2"/>
        <v>0.3</v>
      </c>
      <c r="AA6">
        <f t="shared" si="3"/>
        <v>70</v>
      </c>
    </row>
    <row r="7" spans="1:27" x14ac:dyDescent="0.45">
      <c r="A7" t="s">
        <v>34</v>
      </c>
      <c r="B7" t="s">
        <v>24</v>
      </c>
      <c r="C7" t="s">
        <v>35</v>
      </c>
      <c r="D7">
        <v>0.3</v>
      </c>
      <c r="E7">
        <v>65</v>
      </c>
      <c r="F7">
        <v>0.3</v>
      </c>
      <c r="G7">
        <v>65</v>
      </c>
      <c r="H7">
        <v>0.3</v>
      </c>
      <c r="I7">
        <v>65</v>
      </c>
      <c r="J7">
        <v>0.3</v>
      </c>
      <c r="K7">
        <v>75</v>
      </c>
      <c r="L7">
        <v>0.3</v>
      </c>
      <c r="M7">
        <v>75</v>
      </c>
      <c r="N7">
        <v>0.3</v>
      </c>
      <c r="O7">
        <v>75</v>
      </c>
      <c r="P7">
        <v>0.3</v>
      </c>
      <c r="Q7">
        <v>75</v>
      </c>
      <c r="R7">
        <v>0.3</v>
      </c>
      <c r="S7">
        <v>75</v>
      </c>
      <c r="T7">
        <v>0.3</v>
      </c>
      <c r="U7">
        <v>75</v>
      </c>
      <c r="V7">
        <v>0.3</v>
      </c>
      <c r="W7">
        <v>75</v>
      </c>
      <c r="X7">
        <f t="shared" si="0"/>
        <v>0.29999999999999993</v>
      </c>
      <c r="Y7">
        <f t="shared" si="1"/>
        <v>72</v>
      </c>
      <c r="Z7">
        <f t="shared" si="2"/>
        <v>0.3</v>
      </c>
      <c r="AA7">
        <f t="shared" si="3"/>
        <v>75</v>
      </c>
    </row>
    <row r="8" spans="1:27" x14ac:dyDescent="0.45">
      <c r="A8" t="s">
        <v>36</v>
      </c>
      <c r="B8" t="s">
        <v>24</v>
      </c>
      <c r="C8" t="s">
        <v>37</v>
      </c>
      <c r="D8">
        <v>0.4</v>
      </c>
      <c r="E8">
        <v>80</v>
      </c>
      <c r="F8">
        <v>0.4</v>
      </c>
      <c r="G8">
        <v>80</v>
      </c>
      <c r="H8">
        <v>0.4</v>
      </c>
      <c r="I8">
        <v>80</v>
      </c>
      <c r="J8">
        <v>0.3</v>
      </c>
      <c r="K8">
        <v>75</v>
      </c>
      <c r="L8">
        <v>0.3</v>
      </c>
      <c r="M8">
        <v>75</v>
      </c>
      <c r="N8">
        <v>0.3</v>
      </c>
      <c r="O8">
        <v>75</v>
      </c>
      <c r="P8">
        <v>0.3</v>
      </c>
      <c r="Q8">
        <v>75</v>
      </c>
      <c r="R8">
        <v>0.3</v>
      </c>
      <c r="S8">
        <v>80</v>
      </c>
      <c r="T8">
        <v>0.3</v>
      </c>
      <c r="U8">
        <v>80</v>
      </c>
      <c r="V8">
        <v>0.3</v>
      </c>
      <c r="W8">
        <v>80</v>
      </c>
      <c r="X8">
        <f t="shared" si="0"/>
        <v>0.32999999999999996</v>
      </c>
      <c r="Y8">
        <f t="shared" si="1"/>
        <v>78</v>
      </c>
      <c r="Z8">
        <f t="shared" si="2"/>
        <v>0.3</v>
      </c>
      <c r="AA8">
        <f t="shared" si="3"/>
        <v>80</v>
      </c>
    </row>
    <row r="9" spans="1:27" x14ac:dyDescent="0.45">
      <c r="A9" t="s">
        <v>38</v>
      </c>
      <c r="B9" t="s">
        <v>24</v>
      </c>
      <c r="C9" t="s">
        <v>39</v>
      </c>
      <c r="D9">
        <v>0.3</v>
      </c>
      <c r="E9">
        <v>65</v>
      </c>
      <c r="F9">
        <v>0.3</v>
      </c>
      <c r="G9">
        <v>65</v>
      </c>
      <c r="H9">
        <v>0.3</v>
      </c>
      <c r="I9">
        <v>65</v>
      </c>
      <c r="J9">
        <v>0.3</v>
      </c>
      <c r="K9">
        <v>75</v>
      </c>
      <c r="L9">
        <v>0.3</v>
      </c>
      <c r="M9">
        <v>75</v>
      </c>
      <c r="N9">
        <v>0.3</v>
      </c>
      <c r="O9">
        <v>65</v>
      </c>
      <c r="P9">
        <v>0.3</v>
      </c>
      <c r="Q9">
        <v>65</v>
      </c>
      <c r="R9">
        <v>0.3</v>
      </c>
      <c r="S9">
        <v>75</v>
      </c>
      <c r="T9">
        <v>0.3</v>
      </c>
      <c r="U9">
        <v>75</v>
      </c>
      <c r="V9">
        <v>0.3</v>
      </c>
      <c r="W9">
        <v>75</v>
      </c>
      <c r="X9">
        <f t="shared" si="0"/>
        <v>0.29999999999999993</v>
      </c>
      <c r="Y9">
        <f t="shared" si="1"/>
        <v>70</v>
      </c>
      <c r="Z9">
        <f t="shared" si="2"/>
        <v>0.3</v>
      </c>
      <c r="AA9">
        <f t="shared" si="3"/>
        <v>70</v>
      </c>
    </row>
    <row r="10" spans="1:27" x14ac:dyDescent="0.45">
      <c r="A10" t="s">
        <v>40</v>
      </c>
      <c r="B10" t="s">
        <v>24</v>
      </c>
      <c r="C10" t="s">
        <v>41</v>
      </c>
      <c r="D10">
        <v>0.3</v>
      </c>
      <c r="E10">
        <v>85</v>
      </c>
      <c r="F10">
        <v>0.4</v>
      </c>
      <c r="G10">
        <v>85</v>
      </c>
      <c r="H10">
        <v>0.4</v>
      </c>
      <c r="I10">
        <v>85</v>
      </c>
      <c r="J10">
        <v>0.4</v>
      </c>
      <c r="K10">
        <v>80</v>
      </c>
      <c r="L10">
        <v>0.4</v>
      </c>
      <c r="M10">
        <v>80</v>
      </c>
      <c r="N10">
        <v>0.3</v>
      </c>
      <c r="O10">
        <v>80</v>
      </c>
      <c r="P10">
        <v>0.4</v>
      </c>
      <c r="Q10">
        <v>85</v>
      </c>
      <c r="R10">
        <v>0.4</v>
      </c>
      <c r="S10">
        <v>80</v>
      </c>
      <c r="T10">
        <v>0.4</v>
      </c>
      <c r="U10">
        <v>80</v>
      </c>
      <c r="V10">
        <v>0.4</v>
      </c>
      <c r="W10">
        <v>80</v>
      </c>
      <c r="X10">
        <f t="shared" si="0"/>
        <v>0.37999999999999995</v>
      </c>
      <c r="Y10">
        <f t="shared" si="1"/>
        <v>82</v>
      </c>
      <c r="Z10">
        <f t="shared" si="2"/>
        <v>0.4</v>
      </c>
      <c r="AA10">
        <f t="shared" si="3"/>
        <v>80</v>
      </c>
    </row>
    <row r="11" spans="1:27" x14ac:dyDescent="0.45">
      <c r="A11" t="s">
        <v>42</v>
      </c>
      <c r="B11" t="s">
        <v>24</v>
      </c>
      <c r="C11" t="s">
        <v>43</v>
      </c>
      <c r="D11">
        <v>0.5</v>
      </c>
      <c r="E11">
        <v>85</v>
      </c>
      <c r="F11">
        <v>0.4</v>
      </c>
      <c r="G11">
        <v>80</v>
      </c>
      <c r="H11">
        <v>0.5</v>
      </c>
      <c r="I11">
        <v>80</v>
      </c>
      <c r="J11">
        <v>0.4</v>
      </c>
      <c r="K11">
        <v>80</v>
      </c>
      <c r="L11">
        <v>0.4</v>
      </c>
      <c r="M11">
        <v>80</v>
      </c>
      <c r="N11">
        <v>0.5</v>
      </c>
      <c r="O11">
        <v>85</v>
      </c>
      <c r="P11">
        <v>0.5</v>
      </c>
      <c r="Q11">
        <v>85</v>
      </c>
      <c r="R11">
        <v>0.5</v>
      </c>
      <c r="S11">
        <v>85</v>
      </c>
      <c r="T11">
        <v>0.5</v>
      </c>
      <c r="U11">
        <v>85</v>
      </c>
      <c r="V11">
        <v>0.5</v>
      </c>
      <c r="W11">
        <v>85</v>
      </c>
      <c r="X11">
        <f t="shared" si="0"/>
        <v>0.46999999999999992</v>
      </c>
      <c r="Y11">
        <f t="shared" si="1"/>
        <v>83</v>
      </c>
      <c r="Z11">
        <f t="shared" si="2"/>
        <v>0.5</v>
      </c>
      <c r="AA11">
        <f t="shared" si="3"/>
        <v>85</v>
      </c>
    </row>
    <row r="12" spans="1:27" x14ac:dyDescent="0.45">
      <c r="A12" t="s">
        <v>44</v>
      </c>
      <c r="B12" t="s">
        <v>24</v>
      </c>
      <c r="C12" t="s">
        <v>45</v>
      </c>
      <c r="D12">
        <v>0.3</v>
      </c>
      <c r="E12">
        <v>65</v>
      </c>
      <c r="F12">
        <v>0.4</v>
      </c>
      <c r="G12">
        <v>70</v>
      </c>
      <c r="H12">
        <v>0.3</v>
      </c>
      <c r="I12">
        <v>65</v>
      </c>
      <c r="J12">
        <v>0.3</v>
      </c>
      <c r="K12">
        <v>80</v>
      </c>
      <c r="L12">
        <v>0.3</v>
      </c>
      <c r="M12">
        <v>80</v>
      </c>
      <c r="N12">
        <v>0.3</v>
      </c>
      <c r="O12">
        <v>60</v>
      </c>
      <c r="P12">
        <v>0.3</v>
      </c>
      <c r="Q12">
        <v>60</v>
      </c>
      <c r="R12">
        <v>0.3</v>
      </c>
      <c r="S12">
        <v>65</v>
      </c>
      <c r="T12">
        <v>0.3</v>
      </c>
      <c r="U12">
        <v>65</v>
      </c>
      <c r="V12">
        <v>0.3</v>
      </c>
      <c r="W12">
        <v>65</v>
      </c>
      <c r="X12">
        <f t="shared" si="0"/>
        <v>0.30999999999999994</v>
      </c>
      <c r="Y12">
        <f t="shared" si="1"/>
        <v>67.5</v>
      </c>
      <c r="Z12">
        <f t="shared" si="2"/>
        <v>0.3</v>
      </c>
      <c r="AA12">
        <f t="shared" si="3"/>
        <v>65</v>
      </c>
    </row>
    <row r="13" spans="1:27" x14ac:dyDescent="0.45">
      <c r="A13" t="s">
        <v>46</v>
      </c>
      <c r="B13" t="s">
        <v>24</v>
      </c>
      <c r="C13" t="s">
        <v>47</v>
      </c>
      <c r="D13">
        <v>0.2</v>
      </c>
      <c r="E13">
        <v>60</v>
      </c>
      <c r="F13">
        <v>0.2</v>
      </c>
      <c r="G13">
        <v>60</v>
      </c>
      <c r="H13">
        <v>0.2</v>
      </c>
      <c r="I13">
        <v>60</v>
      </c>
      <c r="J13">
        <v>0.2</v>
      </c>
      <c r="K13">
        <v>60</v>
      </c>
      <c r="L13">
        <v>0.2</v>
      </c>
      <c r="M13">
        <v>60</v>
      </c>
      <c r="N13">
        <v>0.2</v>
      </c>
      <c r="O13">
        <v>65</v>
      </c>
      <c r="P13">
        <v>0.2</v>
      </c>
      <c r="Q13">
        <v>65</v>
      </c>
      <c r="R13">
        <v>0.2</v>
      </c>
      <c r="S13">
        <v>60</v>
      </c>
      <c r="T13">
        <v>0.2</v>
      </c>
      <c r="U13">
        <v>60</v>
      </c>
      <c r="V13">
        <v>0.2</v>
      </c>
      <c r="W13">
        <v>60</v>
      </c>
      <c r="X13">
        <f t="shared" si="0"/>
        <v>0.19999999999999998</v>
      </c>
      <c r="Y13">
        <f t="shared" si="1"/>
        <v>61</v>
      </c>
      <c r="Z13">
        <f t="shared" si="2"/>
        <v>0.2</v>
      </c>
      <c r="AA13">
        <f t="shared" si="3"/>
        <v>60</v>
      </c>
    </row>
    <row r="14" spans="1:27" x14ac:dyDescent="0.45">
      <c r="A14" t="s">
        <v>48</v>
      </c>
      <c r="B14" t="s">
        <v>24</v>
      </c>
      <c r="C14" t="s">
        <v>49</v>
      </c>
      <c r="D14">
        <v>0.2</v>
      </c>
      <c r="E14">
        <v>75</v>
      </c>
      <c r="F14">
        <v>0.2</v>
      </c>
      <c r="G14">
        <v>75</v>
      </c>
      <c r="H14">
        <v>0.2</v>
      </c>
      <c r="I14">
        <v>75</v>
      </c>
      <c r="J14">
        <v>0.2</v>
      </c>
      <c r="K14">
        <v>80</v>
      </c>
      <c r="L14">
        <v>0.2</v>
      </c>
      <c r="M14">
        <v>80</v>
      </c>
      <c r="N14">
        <v>0.2</v>
      </c>
      <c r="O14">
        <v>80</v>
      </c>
      <c r="P14">
        <v>0.2</v>
      </c>
      <c r="Q14">
        <v>80</v>
      </c>
      <c r="R14">
        <v>0.2</v>
      </c>
      <c r="S14">
        <v>80</v>
      </c>
      <c r="T14">
        <v>0.2</v>
      </c>
      <c r="U14">
        <v>80</v>
      </c>
      <c r="V14">
        <v>0.2</v>
      </c>
      <c r="W14">
        <v>80</v>
      </c>
      <c r="X14">
        <f t="shared" si="0"/>
        <v>0.19999999999999998</v>
      </c>
      <c r="Y14">
        <f t="shared" si="1"/>
        <v>78.5</v>
      </c>
      <c r="Z14">
        <f t="shared" si="2"/>
        <v>0.2</v>
      </c>
      <c r="AA14">
        <f t="shared" si="3"/>
        <v>80</v>
      </c>
    </row>
    <row r="15" spans="1:27" x14ac:dyDescent="0.45">
      <c r="A15" t="s">
        <v>50</v>
      </c>
      <c r="B15" t="s">
        <v>24</v>
      </c>
      <c r="C15" t="s">
        <v>51</v>
      </c>
      <c r="D15">
        <v>0.4</v>
      </c>
      <c r="E15">
        <v>75</v>
      </c>
      <c r="F15">
        <v>0.4</v>
      </c>
      <c r="G15">
        <v>75</v>
      </c>
      <c r="H15">
        <v>0.4</v>
      </c>
      <c r="I15">
        <v>75</v>
      </c>
      <c r="J15">
        <v>0.3</v>
      </c>
      <c r="K15">
        <v>65</v>
      </c>
      <c r="L15">
        <v>0.3</v>
      </c>
      <c r="M15">
        <v>65</v>
      </c>
      <c r="N15">
        <v>0.3</v>
      </c>
      <c r="O15">
        <v>60</v>
      </c>
      <c r="P15">
        <v>0.3</v>
      </c>
      <c r="Q15">
        <v>60</v>
      </c>
      <c r="R15">
        <v>0.3</v>
      </c>
      <c r="S15">
        <v>65</v>
      </c>
      <c r="T15">
        <v>0.3</v>
      </c>
      <c r="U15">
        <v>65</v>
      </c>
      <c r="V15">
        <v>0.3</v>
      </c>
      <c r="W15">
        <v>65</v>
      </c>
      <c r="X15">
        <f t="shared" si="0"/>
        <v>0.32999999999999996</v>
      </c>
      <c r="Y15">
        <f t="shared" si="1"/>
        <v>67</v>
      </c>
      <c r="Z15">
        <f t="shared" si="2"/>
        <v>0.3</v>
      </c>
      <c r="AA15">
        <f t="shared" si="3"/>
        <v>65</v>
      </c>
    </row>
    <row r="16" spans="1:27" x14ac:dyDescent="0.45">
      <c r="A16" t="s">
        <v>52</v>
      </c>
      <c r="B16" t="s">
        <v>24</v>
      </c>
      <c r="C16" t="s">
        <v>53</v>
      </c>
      <c r="D16">
        <v>0.3</v>
      </c>
      <c r="E16">
        <v>70</v>
      </c>
      <c r="F16">
        <v>0.3</v>
      </c>
      <c r="G16">
        <v>70</v>
      </c>
      <c r="H16">
        <v>0.3</v>
      </c>
      <c r="I16">
        <v>70</v>
      </c>
      <c r="J16">
        <v>0.3</v>
      </c>
      <c r="K16">
        <v>75</v>
      </c>
      <c r="L16">
        <v>0.3</v>
      </c>
      <c r="M16">
        <v>75</v>
      </c>
      <c r="N16">
        <v>0.3</v>
      </c>
      <c r="O16">
        <v>75</v>
      </c>
      <c r="P16">
        <v>0.3</v>
      </c>
      <c r="Q16">
        <v>75</v>
      </c>
      <c r="R16">
        <v>0.3</v>
      </c>
      <c r="S16">
        <v>65</v>
      </c>
      <c r="T16">
        <v>0.3</v>
      </c>
      <c r="U16">
        <v>65</v>
      </c>
      <c r="V16">
        <v>0.3</v>
      </c>
      <c r="W16">
        <v>65</v>
      </c>
      <c r="X16">
        <f t="shared" si="0"/>
        <v>0.29999999999999993</v>
      </c>
      <c r="Y16">
        <f t="shared" si="1"/>
        <v>70.5</v>
      </c>
      <c r="Z16">
        <f t="shared" si="2"/>
        <v>0.3</v>
      </c>
      <c r="AA16">
        <f t="shared" si="3"/>
        <v>70</v>
      </c>
    </row>
    <row r="17" spans="1:27" x14ac:dyDescent="0.45">
      <c r="A17" t="s">
        <v>54</v>
      </c>
      <c r="B17" t="s">
        <v>24</v>
      </c>
      <c r="C17" t="s">
        <v>55</v>
      </c>
      <c r="D17">
        <v>0.3</v>
      </c>
      <c r="E17">
        <v>85</v>
      </c>
      <c r="F17">
        <v>0.3</v>
      </c>
      <c r="G17">
        <v>85</v>
      </c>
      <c r="H17">
        <v>0.3</v>
      </c>
      <c r="I17">
        <v>85</v>
      </c>
      <c r="J17">
        <v>0.3</v>
      </c>
      <c r="K17">
        <v>70</v>
      </c>
      <c r="L17">
        <v>0.3</v>
      </c>
      <c r="M17">
        <v>70</v>
      </c>
      <c r="N17">
        <v>0.3</v>
      </c>
      <c r="O17">
        <v>85</v>
      </c>
      <c r="P17">
        <v>0.3</v>
      </c>
      <c r="Q17">
        <v>85</v>
      </c>
      <c r="R17">
        <v>0.3</v>
      </c>
      <c r="S17">
        <v>80</v>
      </c>
      <c r="T17">
        <v>0.3</v>
      </c>
      <c r="U17">
        <v>80</v>
      </c>
      <c r="V17">
        <v>0.3</v>
      </c>
      <c r="W17">
        <v>80</v>
      </c>
      <c r="X17">
        <f t="shared" si="0"/>
        <v>0.29999999999999993</v>
      </c>
      <c r="Y17">
        <f t="shared" si="1"/>
        <v>80.5</v>
      </c>
      <c r="Z17">
        <f t="shared" si="2"/>
        <v>0.3</v>
      </c>
      <c r="AA17">
        <f t="shared" si="3"/>
        <v>82.5</v>
      </c>
    </row>
    <row r="18" spans="1:27" x14ac:dyDescent="0.45">
      <c r="A18" t="s">
        <v>56</v>
      </c>
      <c r="B18" t="s">
        <v>24</v>
      </c>
      <c r="C18" t="s">
        <v>57</v>
      </c>
      <c r="D18">
        <v>0.3</v>
      </c>
      <c r="E18">
        <v>75</v>
      </c>
      <c r="F18">
        <v>0.3</v>
      </c>
      <c r="G18">
        <v>75</v>
      </c>
      <c r="H18">
        <v>0.3</v>
      </c>
      <c r="I18">
        <v>75</v>
      </c>
      <c r="J18">
        <v>0.3</v>
      </c>
      <c r="K18">
        <v>75</v>
      </c>
      <c r="L18">
        <v>0.3</v>
      </c>
      <c r="M18">
        <v>75</v>
      </c>
      <c r="N18">
        <v>0.3</v>
      </c>
      <c r="O18">
        <v>80</v>
      </c>
      <c r="P18">
        <v>0.3</v>
      </c>
      <c r="Q18">
        <v>80</v>
      </c>
      <c r="R18">
        <v>0.3</v>
      </c>
      <c r="S18">
        <v>75</v>
      </c>
      <c r="T18">
        <v>0.3</v>
      </c>
      <c r="U18">
        <v>75</v>
      </c>
      <c r="V18">
        <v>0.3</v>
      </c>
      <c r="W18">
        <v>75</v>
      </c>
      <c r="X18">
        <f t="shared" si="0"/>
        <v>0.29999999999999993</v>
      </c>
      <c r="Y18">
        <f t="shared" si="1"/>
        <v>76</v>
      </c>
      <c r="Z18">
        <f t="shared" si="2"/>
        <v>0.3</v>
      </c>
      <c r="AA18">
        <f t="shared" si="3"/>
        <v>75</v>
      </c>
    </row>
    <row r="19" spans="1:27" x14ac:dyDescent="0.45">
      <c r="A19" t="s">
        <v>58</v>
      </c>
      <c r="B19" t="s">
        <v>24</v>
      </c>
      <c r="C19" t="s">
        <v>59</v>
      </c>
      <c r="D19">
        <v>0.3</v>
      </c>
      <c r="E19">
        <v>75</v>
      </c>
      <c r="F19">
        <v>0.3</v>
      </c>
      <c r="G19">
        <v>75</v>
      </c>
      <c r="H19">
        <v>0.3</v>
      </c>
      <c r="I19">
        <v>75</v>
      </c>
      <c r="J19">
        <v>0.3</v>
      </c>
      <c r="K19">
        <v>80</v>
      </c>
      <c r="L19">
        <v>0.3</v>
      </c>
      <c r="M19">
        <v>80</v>
      </c>
      <c r="N19">
        <v>0.3</v>
      </c>
      <c r="O19">
        <v>80</v>
      </c>
      <c r="P19">
        <v>0.3</v>
      </c>
      <c r="Q19">
        <v>80</v>
      </c>
      <c r="R19">
        <v>0.3</v>
      </c>
      <c r="S19">
        <v>80</v>
      </c>
      <c r="T19">
        <v>0.3</v>
      </c>
      <c r="U19">
        <v>80</v>
      </c>
      <c r="V19">
        <v>0.3</v>
      </c>
      <c r="W19">
        <v>80</v>
      </c>
      <c r="X19">
        <f t="shared" si="0"/>
        <v>0.29999999999999993</v>
      </c>
      <c r="Y19">
        <f t="shared" si="1"/>
        <v>78.5</v>
      </c>
      <c r="Z19">
        <f t="shared" si="2"/>
        <v>0.3</v>
      </c>
      <c r="AA19">
        <f t="shared" si="3"/>
        <v>80</v>
      </c>
    </row>
    <row r="20" spans="1:27" x14ac:dyDescent="0.45">
      <c r="A20" t="s">
        <v>60</v>
      </c>
      <c r="B20" t="s">
        <v>24</v>
      </c>
      <c r="C20" t="s">
        <v>61</v>
      </c>
      <c r="D20">
        <v>0.2</v>
      </c>
      <c r="E20">
        <v>80</v>
      </c>
      <c r="F20">
        <v>0.2</v>
      </c>
      <c r="G20">
        <v>80</v>
      </c>
      <c r="H20">
        <v>0.2</v>
      </c>
      <c r="I20">
        <v>80</v>
      </c>
      <c r="J20">
        <v>0.3</v>
      </c>
      <c r="K20">
        <v>80</v>
      </c>
      <c r="L20">
        <v>0.3</v>
      </c>
      <c r="M20">
        <v>80</v>
      </c>
      <c r="N20">
        <v>0.3</v>
      </c>
      <c r="O20">
        <v>85</v>
      </c>
      <c r="P20">
        <v>0.3</v>
      </c>
      <c r="Q20">
        <v>85</v>
      </c>
      <c r="R20">
        <v>0.3</v>
      </c>
      <c r="S20">
        <v>80</v>
      </c>
      <c r="T20">
        <v>0.3</v>
      </c>
      <c r="U20">
        <v>80</v>
      </c>
      <c r="V20">
        <v>0.3</v>
      </c>
      <c r="W20">
        <v>80</v>
      </c>
      <c r="X20">
        <f t="shared" si="0"/>
        <v>0.26999999999999996</v>
      </c>
      <c r="Y20">
        <f t="shared" si="1"/>
        <v>81</v>
      </c>
      <c r="Z20">
        <f t="shared" si="2"/>
        <v>0.3</v>
      </c>
      <c r="AA20">
        <f t="shared" si="3"/>
        <v>80</v>
      </c>
    </row>
    <row r="21" spans="1:27" x14ac:dyDescent="0.45">
      <c r="A21" t="s">
        <v>62</v>
      </c>
      <c r="B21" t="s">
        <v>24</v>
      </c>
      <c r="C21" t="s">
        <v>63</v>
      </c>
      <c r="D21">
        <v>0.2</v>
      </c>
      <c r="E21">
        <v>70</v>
      </c>
      <c r="F21">
        <v>0.2</v>
      </c>
      <c r="G21">
        <v>70</v>
      </c>
      <c r="H21">
        <v>0.2</v>
      </c>
      <c r="I21">
        <v>70</v>
      </c>
      <c r="J21">
        <v>0.2</v>
      </c>
      <c r="K21">
        <v>70</v>
      </c>
      <c r="L21">
        <v>0.2</v>
      </c>
      <c r="M21">
        <v>70</v>
      </c>
      <c r="N21">
        <v>0.3</v>
      </c>
      <c r="O21">
        <v>70</v>
      </c>
      <c r="P21">
        <v>0.3</v>
      </c>
      <c r="Q21">
        <v>70</v>
      </c>
      <c r="R21">
        <v>0.2</v>
      </c>
      <c r="S21">
        <v>70</v>
      </c>
      <c r="T21">
        <v>0.2</v>
      </c>
      <c r="U21">
        <v>70</v>
      </c>
      <c r="V21">
        <v>0.2</v>
      </c>
      <c r="W21">
        <v>70</v>
      </c>
      <c r="X21">
        <f t="shared" si="0"/>
        <v>0.22000000000000003</v>
      </c>
      <c r="Y21">
        <f t="shared" si="1"/>
        <v>70</v>
      </c>
      <c r="Z21">
        <f t="shared" si="2"/>
        <v>0.2</v>
      </c>
      <c r="AA21">
        <f t="shared" si="3"/>
        <v>70</v>
      </c>
    </row>
    <row r="22" spans="1:27" x14ac:dyDescent="0.45">
      <c r="A22" t="s">
        <v>64</v>
      </c>
      <c r="B22" t="s">
        <v>24</v>
      </c>
      <c r="C22" t="s">
        <v>65</v>
      </c>
      <c r="D22">
        <v>0.3</v>
      </c>
      <c r="E22">
        <v>75</v>
      </c>
      <c r="F22">
        <v>0.3</v>
      </c>
      <c r="G22">
        <v>75</v>
      </c>
      <c r="H22">
        <v>0.3</v>
      </c>
      <c r="I22">
        <v>75</v>
      </c>
      <c r="J22">
        <v>0.3</v>
      </c>
      <c r="K22">
        <v>75</v>
      </c>
      <c r="L22">
        <v>0.3</v>
      </c>
      <c r="M22">
        <v>75</v>
      </c>
      <c r="N22">
        <v>0.3</v>
      </c>
      <c r="O22">
        <v>80</v>
      </c>
      <c r="P22">
        <v>0.3</v>
      </c>
      <c r="Q22">
        <v>80</v>
      </c>
      <c r="R22">
        <v>0.3</v>
      </c>
      <c r="S22">
        <v>75</v>
      </c>
      <c r="T22">
        <v>0.3</v>
      </c>
      <c r="U22">
        <v>75</v>
      </c>
      <c r="V22">
        <v>0.3</v>
      </c>
      <c r="W22">
        <v>75</v>
      </c>
      <c r="X22">
        <f t="shared" si="0"/>
        <v>0.29999999999999993</v>
      </c>
      <c r="Y22">
        <f t="shared" si="1"/>
        <v>76</v>
      </c>
      <c r="Z22">
        <f t="shared" si="2"/>
        <v>0.3</v>
      </c>
      <c r="AA22">
        <f t="shared" si="3"/>
        <v>75</v>
      </c>
    </row>
    <row r="23" spans="1:27" x14ac:dyDescent="0.45">
      <c r="A23" t="s">
        <v>66</v>
      </c>
      <c r="B23" t="s">
        <v>24</v>
      </c>
      <c r="C23" t="s">
        <v>67</v>
      </c>
      <c r="D23">
        <v>0.3</v>
      </c>
      <c r="E23">
        <v>80</v>
      </c>
      <c r="F23">
        <v>0.3</v>
      </c>
      <c r="G23">
        <v>80</v>
      </c>
      <c r="H23">
        <v>0.3</v>
      </c>
      <c r="I23">
        <v>80</v>
      </c>
      <c r="J23">
        <v>0.3</v>
      </c>
      <c r="K23">
        <v>85</v>
      </c>
      <c r="L23">
        <v>0.3</v>
      </c>
      <c r="M23">
        <v>85</v>
      </c>
      <c r="N23">
        <v>0.3</v>
      </c>
      <c r="O23">
        <v>75</v>
      </c>
      <c r="P23">
        <v>0.3</v>
      </c>
      <c r="Q23">
        <v>75</v>
      </c>
      <c r="R23">
        <v>0.3</v>
      </c>
      <c r="S23">
        <v>85</v>
      </c>
      <c r="T23">
        <v>0.3</v>
      </c>
      <c r="U23">
        <v>85</v>
      </c>
      <c r="V23">
        <v>0.3</v>
      </c>
      <c r="W23">
        <v>85</v>
      </c>
      <c r="X23">
        <f t="shared" si="0"/>
        <v>0.29999999999999993</v>
      </c>
      <c r="Y23">
        <f t="shared" si="1"/>
        <v>81.5</v>
      </c>
      <c r="Z23">
        <f t="shared" si="2"/>
        <v>0.3</v>
      </c>
      <c r="AA23">
        <f t="shared" si="3"/>
        <v>82.5</v>
      </c>
    </row>
    <row r="24" spans="1:27" x14ac:dyDescent="0.45">
      <c r="A24" t="s">
        <v>68</v>
      </c>
      <c r="B24" t="s">
        <v>24</v>
      </c>
      <c r="C24" t="s">
        <v>69</v>
      </c>
      <c r="D24">
        <v>0.2</v>
      </c>
      <c r="E24">
        <v>75</v>
      </c>
      <c r="F24">
        <v>0.2</v>
      </c>
      <c r="G24">
        <v>75</v>
      </c>
      <c r="H24">
        <v>0.2</v>
      </c>
      <c r="I24">
        <v>75</v>
      </c>
      <c r="J24">
        <v>0.3</v>
      </c>
      <c r="K24">
        <v>80</v>
      </c>
      <c r="L24">
        <v>0.3</v>
      </c>
      <c r="M24">
        <v>80</v>
      </c>
      <c r="N24">
        <v>0.3</v>
      </c>
      <c r="O24">
        <v>80</v>
      </c>
      <c r="P24">
        <v>0.3</v>
      </c>
      <c r="Q24">
        <v>80</v>
      </c>
      <c r="R24">
        <v>0.2</v>
      </c>
      <c r="S24">
        <v>75</v>
      </c>
      <c r="T24">
        <v>0.2</v>
      </c>
      <c r="U24">
        <v>75</v>
      </c>
      <c r="V24">
        <v>0.2</v>
      </c>
      <c r="W24">
        <v>75</v>
      </c>
      <c r="X24">
        <f t="shared" si="0"/>
        <v>0.24000000000000007</v>
      </c>
      <c r="Y24">
        <f t="shared" si="1"/>
        <v>77</v>
      </c>
      <c r="Z24">
        <f t="shared" si="2"/>
        <v>0.2</v>
      </c>
      <c r="AA24">
        <f t="shared" si="3"/>
        <v>75</v>
      </c>
    </row>
    <row r="25" spans="1:27" x14ac:dyDescent="0.45">
      <c r="A25" t="s">
        <v>70</v>
      </c>
      <c r="B25" t="s">
        <v>24</v>
      </c>
      <c r="C25" t="s">
        <v>71</v>
      </c>
      <c r="D25">
        <v>0.2</v>
      </c>
      <c r="E25">
        <v>70</v>
      </c>
      <c r="F25">
        <v>0.2</v>
      </c>
      <c r="G25">
        <v>70</v>
      </c>
      <c r="H25">
        <v>0.2</v>
      </c>
      <c r="I25">
        <v>70</v>
      </c>
      <c r="J25">
        <v>0.2</v>
      </c>
      <c r="K25">
        <v>60</v>
      </c>
      <c r="L25">
        <v>0.2</v>
      </c>
      <c r="M25">
        <v>60</v>
      </c>
      <c r="N25">
        <v>0.2</v>
      </c>
      <c r="O25">
        <v>65</v>
      </c>
      <c r="P25">
        <v>0.2</v>
      </c>
      <c r="Q25">
        <v>65</v>
      </c>
      <c r="R25">
        <v>0.2</v>
      </c>
      <c r="S25">
        <v>70</v>
      </c>
      <c r="T25">
        <v>0.2</v>
      </c>
      <c r="U25">
        <v>70</v>
      </c>
      <c r="V25">
        <v>0.2</v>
      </c>
      <c r="W25">
        <v>70</v>
      </c>
      <c r="X25">
        <f t="shared" si="0"/>
        <v>0.19999999999999998</v>
      </c>
      <c r="Y25">
        <f t="shared" si="1"/>
        <v>67</v>
      </c>
      <c r="Z25">
        <f t="shared" si="2"/>
        <v>0.2</v>
      </c>
      <c r="AA25">
        <f t="shared" si="3"/>
        <v>70</v>
      </c>
    </row>
    <row r="26" spans="1:27" x14ac:dyDescent="0.45">
      <c r="A26" t="s">
        <v>72</v>
      </c>
      <c r="B26" t="s">
        <v>24</v>
      </c>
      <c r="C26" t="s">
        <v>73</v>
      </c>
      <c r="D26">
        <v>0.2</v>
      </c>
      <c r="E26">
        <v>65</v>
      </c>
      <c r="F26">
        <v>0.2</v>
      </c>
      <c r="G26">
        <v>65</v>
      </c>
      <c r="H26">
        <v>0.2</v>
      </c>
      <c r="I26">
        <v>65</v>
      </c>
      <c r="J26">
        <v>0.2</v>
      </c>
      <c r="K26">
        <v>80</v>
      </c>
      <c r="L26">
        <v>0.2</v>
      </c>
      <c r="M26">
        <v>80</v>
      </c>
      <c r="N26">
        <v>0.2</v>
      </c>
      <c r="O26">
        <v>80</v>
      </c>
      <c r="P26">
        <v>0.2</v>
      </c>
      <c r="Q26">
        <v>80</v>
      </c>
      <c r="R26">
        <v>0.2</v>
      </c>
      <c r="S26">
        <v>70</v>
      </c>
      <c r="T26">
        <v>0.2</v>
      </c>
      <c r="U26">
        <v>70</v>
      </c>
      <c r="V26">
        <v>0.2</v>
      </c>
      <c r="W26">
        <v>70</v>
      </c>
      <c r="X26">
        <f t="shared" si="0"/>
        <v>0.19999999999999998</v>
      </c>
      <c r="Y26">
        <f t="shared" si="1"/>
        <v>72.5</v>
      </c>
      <c r="Z26">
        <f t="shared" si="2"/>
        <v>0.2</v>
      </c>
      <c r="AA26">
        <f t="shared" si="3"/>
        <v>70</v>
      </c>
    </row>
    <row r="27" spans="1:27" x14ac:dyDescent="0.45">
      <c r="A27" t="s">
        <v>74</v>
      </c>
      <c r="B27" t="s">
        <v>24</v>
      </c>
      <c r="C27" t="s">
        <v>75</v>
      </c>
      <c r="D27">
        <v>18</v>
      </c>
      <c r="E27">
        <v>60</v>
      </c>
      <c r="F27">
        <v>18</v>
      </c>
      <c r="G27">
        <v>60</v>
      </c>
      <c r="H27">
        <v>18</v>
      </c>
      <c r="I27">
        <v>60</v>
      </c>
      <c r="J27">
        <v>17</v>
      </c>
      <c r="K27">
        <v>65</v>
      </c>
      <c r="L27">
        <v>17</v>
      </c>
      <c r="M27">
        <v>65</v>
      </c>
      <c r="N27">
        <v>16</v>
      </c>
      <c r="O27">
        <v>60</v>
      </c>
      <c r="P27">
        <v>16</v>
      </c>
      <c r="Q27">
        <v>60</v>
      </c>
      <c r="R27">
        <v>16</v>
      </c>
      <c r="S27">
        <v>60</v>
      </c>
      <c r="T27">
        <v>16</v>
      </c>
      <c r="U27">
        <v>60</v>
      </c>
      <c r="V27">
        <v>16</v>
      </c>
      <c r="W27">
        <v>60</v>
      </c>
      <c r="X27">
        <f t="shared" si="0"/>
        <v>16.8</v>
      </c>
      <c r="Y27">
        <f t="shared" si="1"/>
        <v>61</v>
      </c>
      <c r="Z27">
        <f t="shared" si="2"/>
        <v>16.5</v>
      </c>
      <c r="AA27">
        <f t="shared" si="3"/>
        <v>60</v>
      </c>
    </row>
    <row r="28" spans="1:27" x14ac:dyDescent="0.45">
      <c r="A28" t="s">
        <v>76</v>
      </c>
      <c r="B28" t="s">
        <v>24</v>
      </c>
      <c r="C28" t="s">
        <v>77</v>
      </c>
      <c r="D28">
        <v>16</v>
      </c>
      <c r="E28">
        <v>90</v>
      </c>
      <c r="F28">
        <v>16</v>
      </c>
      <c r="G28">
        <v>90</v>
      </c>
      <c r="H28">
        <v>16</v>
      </c>
      <c r="I28">
        <v>90</v>
      </c>
      <c r="J28">
        <v>16</v>
      </c>
      <c r="K28">
        <v>90</v>
      </c>
      <c r="L28">
        <v>16</v>
      </c>
      <c r="M28">
        <v>90</v>
      </c>
      <c r="N28">
        <v>16</v>
      </c>
      <c r="O28">
        <v>90</v>
      </c>
      <c r="P28">
        <v>16</v>
      </c>
      <c r="Q28">
        <v>90</v>
      </c>
      <c r="R28">
        <v>16</v>
      </c>
      <c r="S28">
        <v>90</v>
      </c>
      <c r="T28">
        <v>16</v>
      </c>
      <c r="U28">
        <v>90</v>
      </c>
      <c r="V28">
        <v>16</v>
      </c>
      <c r="W28">
        <v>90</v>
      </c>
      <c r="X28">
        <f t="shared" si="0"/>
        <v>16</v>
      </c>
      <c r="Y28">
        <f t="shared" si="1"/>
        <v>90</v>
      </c>
      <c r="Z28">
        <f t="shared" si="2"/>
        <v>16</v>
      </c>
      <c r="AA28">
        <f t="shared" si="3"/>
        <v>90</v>
      </c>
    </row>
    <row r="29" spans="1:27" x14ac:dyDescent="0.45">
      <c r="A29" t="s">
        <v>78</v>
      </c>
      <c r="B29" t="s">
        <v>24</v>
      </c>
      <c r="C29" t="s">
        <v>79</v>
      </c>
      <c r="D29">
        <v>-6</v>
      </c>
      <c r="E29">
        <v>40</v>
      </c>
      <c r="F29">
        <v>-6</v>
      </c>
      <c r="G29">
        <v>40</v>
      </c>
      <c r="H29">
        <v>-6</v>
      </c>
      <c r="I29">
        <v>40</v>
      </c>
      <c r="J29">
        <v>-4.5</v>
      </c>
      <c r="K29">
        <v>40</v>
      </c>
      <c r="L29">
        <v>-4.5</v>
      </c>
      <c r="M29">
        <v>40</v>
      </c>
      <c r="N29">
        <v>-2.5</v>
      </c>
      <c r="O29">
        <v>50</v>
      </c>
      <c r="P29">
        <v>-2.5</v>
      </c>
      <c r="Q29">
        <v>50</v>
      </c>
      <c r="R29">
        <v>-4.8</v>
      </c>
      <c r="S29">
        <v>50</v>
      </c>
      <c r="T29">
        <v>-4.8</v>
      </c>
      <c r="U29">
        <v>50</v>
      </c>
      <c r="V29">
        <v>-4.8</v>
      </c>
      <c r="W29">
        <v>50</v>
      </c>
      <c r="X29">
        <f t="shared" si="0"/>
        <v>-4.6399999999999988</v>
      </c>
      <c r="Y29">
        <f t="shared" si="1"/>
        <v>45</v>
      </c>
      <c r="Z29">
        <f t="shared" si="2"/>
        <v>-4.8</v>
      </c>
      <c r="AA29">
        <f t="shared" si="3"/>
        <v>45</v>
      </c>
    </row>
    <row r="30" spans="1:27" x14ac:dyDescent="0.45">
      <c r="A30" t="s">
        <v>80</v>
      </c>
      <c r="B30" t="s">
        <v>24</v>
      </c>
      <c r="C30" t="s">
        <v>81</v>
      </c>
      <c r="D30">
        <v>-4</v>
      </c>
      <c r="E30">
        <v>80</v>
      </c>
      <c r="F30">
        <v>-4</v>
      </c>
      <c r="G30">
        <v>80</v>
      </c>
      <c r="H30">
        <v>-4</v>
      </c>
      <c r="I30">
        <v>80</v>
      </c>
      <c r="J30">
        <v>-2.5</v>
      </c>
      <c r="K30">
        <v>70</v>
      </c>
      <c r="L30">
        <v>-2.7</v>
      </c>
      <c r="M30">
        <v>75</v>
      </c>
      <c r="N30">
        <v>-2.5</v>
      </c>
      <c r="O30">
        <v>75</v>
      </c>
      <c r="P30">
        <v>-2.5</v>
      </c>
      <c r="Q30">
        <v>75</v>
      </c>
      <c r="R30">
        <v>-2.5</v>
      </c>
      <c r="S30">
        <v>75</v>
      </c>
      <c r="T30">
        <v>-2.5</v>
      </c>
      <c r="U30">
        <v>75</v>
      </c>
      <c r="V30">
        <v>-2.5</v>
      </c>
      <c r="W30">
        <v>75</v>
      </c>
      <c r="X30">
        <f t="shared" si="0"/>
        <v>-2.9699999999999998</v>
      </c>
      <c r="Y30">
        <f t="shared" si="1"/>
        <v>76</v>
      </c>
      <c r="Z30">
        <f t="shared" si="2"/>
        <v>-2.5</v>
      </c>
      <c r="AA30">
        <f t="shared" si="3"/>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3C21-0AC4-467D-B684-BAC57260BD16}">
  <sheetPr>
    <tabColor rgb="FFFF0000"/>
  </sheetPr>
  <dimension ref="A1:E30"/>
  <sheetViews>
    <sheetView workbookViewId="0">
      <selection activeCell="F2" sqref="F2"/>
    </sheetView>
  </sheetViews>
  <sheetFormatPr baseColWidth="10" defaultRowHeight="14.25" x14ac:dyDescent="0.45"/>
  <sheetData>
    <row r="1" spans="1:5" x14ac:dyDescent="0.45">
      <c r="A1" t="s">
        <v>0</v>
      </c>
      <c r="B1" t="s">
        <v>141</v>
      </c>
      <c r="C1" t="s">
        <v>142</v>
      </c>
      <c r="D1" t="s">
        <v>143</v>
      </c>
      <c r="E1" t="s">
        <v>144</v>
      </c>
    </row>
    <row r="2" spans="1:5" x14ac:dyDescent="0.45">
      <c r="A2" t="s">
        <v>23</v>
      </c>
      <c r="B2">
        <f>prev_INSEE!X2-OLD_INSEE!X2</f>
        <v>0</v>
      </c>
      <c r="C2">
        <f>prev_INSEE!Y2-OLD_INSEE!Y2</f>
        <v>0</v>
      </c>
      <c r="D2">
        <f>prev_INSEE!Z2-OLD_INSEE!Z2</f>
        <v>0</v>
      </c>
      <c r="E2">
        <f>prev_INSEE!AA2-OLD_INSEE!AA2</f>
        <v>0</v>
      </c>
    </row>
    <row r="3" spans="1:5" x14ac:dyDescent="0.45">
      <c r="A3" t="s">
        <v>26</v>
      </c>
      <c r="B3">
        <f>prev_INSEE!X3-OLD_INSEE!X3</f>
        <v>0</v>
      </c>
      <c r="C3">
        <f>prev_INSEE!Y3-OLD_INSEE!Y3</f>
        <v>-0.5</v>
      </c>
      <c r="D3">
        <f>prev_INSEE!Z3-OLD_INSEE!Z3</f>
        <v>0</v>
      </c>
      <c r="E3">
        <f>prev_INSEE!AA3-OLD_INSEE!AA3</f>
        <v>0</v>
      </c>
    </row>
    <row r="4" spans="1:5" x14ac:dyDescent="0.45">
      <c r="A4" t="s">
        <v>28</v>
      </c>
      <c r="B4">
        <f>prev_INSEE!X4-OLD_INSEE!X4</f>
        <v>0</v>
      </c>
      <c r="C4">
        <f>prev_INSEE!Y4-OLD_INSEE!Y4</f>
        <v>1.5</v>
      </c>
      <c r="D4">
        <f>prev_INSEE!Z4-OLD_INSEE!Z4</f>
        <v>0</v>
      </c>
      <c r="E4">
        <f>prev_INSEE!AA4-OLD_INSEE!AA4</f>
        <v>0</v>
      </c>
    </row>
    <row r="5" spans="1:5" x14ac:dyDescent="0.45">
      <c r="A5" t="s">
        <v>30</v>
      </c>
      <c r="B5">
        <f>prev_INSEE!X5-OLD_INSEE!X5</f>
        <v>3.0000000000000027E-2</v>
      </c>
      <c r="C5">
        <f>prev_INSEE!Y5-OLD_INSEE!Y5</f>
        <v>0.5</v>
      </c>
      <c r="D5">
        <f>prev_INSEE!Z5-OLD_INSEE!Z5</f>
        <v>0</v>
      </c>
      <c r="E5">
        <f>prev_INSEE!AA5-OLD_INSEE!AA5</f>
        <v>0</v>
      </c>
    </row>
    <row r="6" spans="1:5" x14ac:dyDescent="0.45">
      <c r="A6" t="s">
        <v>32</v>
      </c>
      <c r="B6">
        <f>prev_INSEE!X6-OLD_INSEE!X6</f>
        <v>3.0000000000000027E-2</v>
      </c>
      <c r="C6">
        <f>prev_INSEE!Y6-OLD_INSEE!Y6</f>
        <v>-1.5</v>
      </c>
      <c r="D6">
        <f>prev_INSEE!Z6-OLD_INSEE!Z6</f>
        <v>0.10000000000000003</v>
      </c>
      <c r="E6">
        <f>prev_INSEE!AA6-OLD_INSEE!AA6</f>
        <v>0</v>
      </c>
    </row>
    <row r="7" spans="1:5" x14ac:dyDescent="0.45">
      <c r="A7" t="s">
        <v>34</v>
      </c>
      <c r="B7">
        <f>prev_INSEE!X7-OLD_INSEE!X7</f>
        <v>-3.999999999999998E-2</v>
      </c>
      <c r="C7">
        <f>prev_INSEE!Y7-OLD_INSEE!Y7</f>
        <v>4.5</v>
      </c>
      <c r="D7">
        <f>prev_INSEE!Z7-OLD_INSEE!Z7</f>
        <v>0</v>
      </c>
      <c r="E7">
        <f>prev_INSEE!AA7-OLD_INSEE!AA7</f>
        <v>0</v>
      </c>
    </row>
    <row r="8" spans="1:5" x14ac:dyDescent="0.45">
      <c r="A8" t="s">
        <v>36</v>
      </c>
      <c r="B8">
        <f>prev_INSEE!X8-OLD_INSEE!X8</f>
        <v>-3.0000000000000027E-2</v>
      </c>
      <c r="C8">
        <f>prev_INSEE!Y8-OLD_INSEE!Y8</f>
        <v>4.5</v>
      </c>
      <c r="D8">
        <f>prev_INSEE!Z8-OLD_INSEE!Z8</f>
        <v>0</v>
      </c>
      <c r="E8">
        <f>prev_INSEE!AA8-OLD_INSEE!AA8</f>
        <v>2.5</v>
      </c>
    </row>
    <row r="9" spans="1:5" x14ac:dyDescent="0.45">
      <c r="A9" t="s">
        <v>38</v>
      </c>
      <c r="B9">
        <f>prev_INSEE!X9-OLD_INSEE!X9</f>
        <v>0</v>
      </c>
      <c r="C9">
        <f>prev_INSEE!Y9-OLD_INSEE!Y9</f>
        <v>0</v>
      </c>
      <c r="D9">
        <f>prev_INSEE!Z9-OLD_INSEE!Z9</f>
        <v>0</v>
      </c>
      <c r="E9">
        <f>prev_INSEE!AA9-OLD_INSEE!AA9</f>
        <v>0</v>
      </c>
    </row>
    <row r="10" spans="1:5" x14ac:dyDescent="0.45">
      <c r="A10" t="s">
        <v>40</v>
      </c>
      <c r="B10">
        <f>prev_INSEE!X10-OLD_INSEE!X10</f>
        <v>2.0000000000000018E-2</v>
      </c>
      <c r="C10">
        <f>prev_INSEE!Y10-OLD_INSEE!Y10</f>
        <v>-4.5</v>
      </c>
      <c r="D10">
        <f>prev_INSEE!Z10-OLD_INSEE!Z10</f>
        <v>0</v>
      </c>
      <c r="E10">
        <f>prev_INSEE!AA10-OLD_INSEE!AA10</f>
        <v>-2.5</v>
      </c>
    </row>
    <row r="11" spans="1:5" x14ac:dyDescent="0.45">
      <c r="A11" t="s">
        <v>42</v>
      </c>
      <c r="B11">
        <f>prev_INSEE!X11-OLD_INSEE!X11</f>
        <v>2.0000000000000129E-2</v>
      </c>
      <c r="C11">
        <f>prev_INSEE!Y11-OLD_INSEE!Y11</f>
        <v>0.5</v>
      </c>
      <c r="D11">
        <f>prev_INSEE!Z11-OLD_INSEE!Z11</f>
        <v>0</v>
      </c>
      <c r="E11">
        <f>prev_INSEE!AA11-OLD_INSEE!AA11</f>
        <v>0</v>
      </c>
    </row>
    <row r="12" spans="1:5" x14ac:dyDescent="0.45">
      <c r="A12" t="s">
        <v>44</v>
      </c>
      <c r="B12">
        <f>prev_INSEE!X12-OLD_INSEE!X12</f>
        <v>-1.0000000000000009E-2</v>
      </c>
      <c r="C12">
        <f>prev_INSEE!Y12-OLD_INSEE!Y12</f>
        <v>5</v>
      </c>
      <c r="D12">
        <f>prev_INSEE!Z12-OLD_INSEE!Z12</f>
        <v>0</v>
      </c>
      <c r="E12">
        <f>prev_INSEE!AA12-OLD_INSEE!AA12</f>
        <v>7.5</v>
      </c>
    </row>
    <row r="13" spans="1:5" x14ac:dyDescent="0.45">
      <c r="A13" t="s">
        <v>46</v>
      </c>
      <c r="B13">
        <f>prev_INSEE!X13-OLD_INSEE!X13</f>
        <v>0</v>
      </c>
      <c r="C13">
        <f>prev_INSEE!Y13-OLD_INSEE!Y13</f>
        <v>-1</v>
      </c>
      <c r="D13">
        <f>prev_INSEE!Z13-OLD_INSEE!Z13</f>
        <v>0</v>
      </c>
      <c r="E13">
        <f>prev_INSEE!AA13-OLD_INSEE!AA13</f>
        <v>0</v>
      </c>
    </row>
    <row r="14" spans="1:5" x14ac:dyDescent="0.45">
      <c r="A14" t="s">
        <v>48</v>
      </c>
      <c r="B14">
        <f>prev_INSEE!X14-OLD_INSEE!X14</f>
        <v>0</v>
      </c>
      <c r="C14">
        <f>prev_INSEE!Y14-OLD_INSEE!Y14</f>
        <v>-2.5</v>
      </c>
      <c r="D14">
        <f>prev_INSEE!Z14-OLD_INSEE!Z14</f>
        <v>0</v>
      </c>
      <c r="E14">
        <f>prev_INSEE!AA14-OLD_INSEE!AA14</f>
        <v>-2.5</v>
      </c>
    </row>
    <row r="15" spans="1:5" x14ac:dyDescent="0.45">
      <c r="A15" t="s">
        <v>50</v>
      </c>
      <c r="B15">
        <f>prev_INSEE!X15-OLD_INSEE!X15</f>
        <v>2.0000000000000018E-2</v>
      </c>
      <c r="C15">
        <f>prev_INSEE!Y15-OLD_INSEE!Y15</f>
        <v>3</v>
      </c>
      <c r="D15">
        <f>prev_INSEE!Z15-OLD_INSEE!Z15</f>
        <v>4.9999999999999989E-2</v>
      </c>
      <c r="E15">
        <f>prev_INSEE!AA15-OLD_INSEE!AA15</f>
        <v>5</v>
      </c>
    </row>
    <row r="16" spans="1:5" x14ac:dyDescent="0.45">
      <c r="A16" t="s">
        <v>52</v>
      </c>
      <c r="B16">
        <f>prev_INSEE!X16-OLD_INSEE!X16</f>
        <v>3.0000000000000027E-2</v>
      </c>
      <c r="C16">
        <f>prev_INSEE!Y16-OLD_INSEE!Y16</f>
        <v>4.5</v>
      </c>
      <c r="D16">
        <f>prev_INSEE!Z16-OLD_INSEE!Z16</f>
        <v>0</v>
      </c>
      <c r="E16">
        <f>prev_INSEE!AA16-OLD_INSEE!AA16</f>
        <v>5</v>
      </c>
    </row>
    <row r="17" spans="1:5" x14ac:dyDescent="0.45">
      <c r="A17" t="s">
        <v>54</v>
      </c>
      <c r="B17">
        <f>prev_INSEE!X17-OLD_INSEE!X17</f>
        <v>0</v>
      </c>
      <c r="C17">
        <f>prev_INSEE!Y17-OLD_INSEE!Y17</f>
        <v>-4</v>
      </c>
      <c r="D17">
        <f>prev_INSEE!Z17-OLD_INSEE!Z17</f>
        <v>0</v>
      </c>
      <c r="E17">
        <f>prev_INSEE!AA17-OLD_INSEE!AA17</f>
        <v>-7.5</v>
      </c>
    </row>
    <row r="18" spans="1:5" x14ac:dyDescent="0.45">
      <c r="A18" t="s">
        <v>56</v>
      </c>
      <c r="B18">
        <f>prev_INSEE!X18-OLD_INSEE!X18</f>
        <v>0</v>
      </c>
      <c r="C18">
        <f>prev_INSEE!Y18-OLD_INSEE!Y18</f>
        <v>0</v>
      </c>
      <c r="D18">
        <f>prev_INSEE!Z18-OLD_INSEE!Z18</f>
        <v>0</v>
      </c>
      <c r="E18">
        <f>prev_INSEE!AA18-OLD_INSEE!AA18</f>
        <v>0</v>
      </c>
    </row>
    <row r="19" spans="1:5" x14ac:dyDescent="0.45">
      <c r="A19" t="s">
        <v>58</v>
      </c>
      <c r="B19">
        <f>prev_INSEE!X19-OLD_INSEE!X19</f>
        <v>0</v>
      </c>
      <c r="C19">
        <f>prev_INSEE!Y19-OLD_INSEE!Y19</f>
        <v>0</v>
      </c>
      <c r="D19">
        <f>prev_INSEE!Z19-OLD_INSEE!Z19</f>
        <v>0</v>
      </c>
      <c r="E19">
        <f>prev_INSEE!AA19-OLD_INSEE!AA19</f>
        <v>0</v>
      </c>
    </row>
    <row r="20" spans="1:5" x14ac:dyDescent="0.45">
      <c r="A20" t="s">
        <v>60</v>
      </c>
      <c r="B20">
        <f>prev_INSEE!X20-OLD_INSEE!X20</f>
        <v>-1.9999999999999907E-2</v>
      </c>
      <c r="C20">
        <f>prev_INSEE!Y20-OLD_INSEE!Y20</f>
        <v>2.5</v>
      </c>
      <c r="D20">
        <f>prev_INSEE!Z20-OLD_INSEE!Z20</f>
        <v>-4.9999999999999989E-2</v>
      </c>
      <c r="E20">
        <f>prev_INSEE!AA20-OLD_INSEE!AA20</f>
        <v>5</v>
      </c>
    </row>
    <row r="21" spans="1:5" x14ac:dyDescent="0.45">
      <c r="A21" t="s">
        <v>62</v>
      </c>
      <c r="B21">
        <f>prev_INSEE!X21-OLD_INSEE!X21</f>
        <v>3.0000000000000027E-2</v>
      </c>
      <c r="C21">
        <f>prev_INSEE!Y21-OLD_INSEE!Y21</f>
        <v>0</v>
      </c>
      <c r="D21">
        <f>prev_INSEE!Z21-OLD_INSEE!Z21</f>
        <v>4.9999999999999989E-2</v>
      </c>
      <c r="E21">
        <f>prev_INSEE!AA21-OLD_INSEE!AA21</f>
        <v>0</v>
      </c>
    </row>
    <row r="22" spans="1:5" x14ac:dyDescent="0.45">
      <c r="A22" t="s">
        <v>64</v>
      </c>
      <c r="B22">
        <f>prev_INSEE!X22-OLD_INSEE!X22</f>
        <v>0</v>
      </c>
      <c r="C22">
        <f>prev_INSEE!Y22-OLD_INSEE!Y22</f>
        <v>-0.5</v>
      </c>
      <c r="D22">
        <f>prev_INSEE!Z22-OLD_INSEE!Z22</f>
        <v>0</v>
      </c>
      <c r="E22">
        <f>prev_INSEE!AA22-OLD_INSEE!AA22</f>
        <v>0</v>
      </c>
    </row>
    <row r="23" spans="1:5" x14ac:dyDescent="0.45">
      <c r="A23" t="s">
        <v>66</v>
      </c>
      <c r="B23">
        <f>prev_INSEE!X23-OLD_INSEE!X23</f>
        <v>0</v>
      </c>
      <c r="C23">
        <f>prev_INSEE!Y23-OLD_INSEE!Y23</f>
        <v>0</v>
      </c>
      <c r="D23">
        <f>prev_INSEE!Z23-OLD_INSEE!Z23</f>
        <v>0</v>
      </c>
      <c r="E23">
        <f>prev_INSEE!AA23-OLD_INSEE!AA23</f>
        <v>-2.5</v>
      </c>
    </row>
    <row r="24" spans="1:5" x14ac:dyDescent="0.45">
      <c r="A24" t="s">
        <v>68</v>
      </c>
      <c r="B24">
        <f>prev_INSEE!X24-OLD_INSEE!X24</f>
        <v>5.9999999999999859E-2</v>
      </c>
      <c r="C24">
        <f>prev_INSEE!Y24-OLD_INSEE!Y24</f>
        <v>4</v>
      </c>
      <c r="D24">
        <f>prev_INSEE!Z24-OLD_INSEE!Z24</f>
        <v>9.9999999999999978E-2</v>
      </c>
      <c r="E24">
        <f>prev_INSEE!AA24-OLD_INSEE!AA24</f>
        <v>5</v>
      </c>
    </row>
    <row r="25" spans="1:5" x14ac:dyDescent="0.45">
      <c r="A25" t="s">
        <v>70</v>
      </c>
      <c r="B25">
        <f>prev_INSEE!X25-OLD_INSEE!X25</f>
        <v>0</v>
      </c>
      <c r="C25">
        <f>prev_INSEE!Y25-OLD_INSEE!Y25</f>
        <v>-1.5</v>
      </c>
      <c r="D25">
        <f>prev_INSEE!Z25-OLD_INSEE!Z25</f>
        <v>0</v>
      </c>
      <c r="E25">
        <f>prev_INSEE!AA25-OLD_INSEE!AA25</f>
        <v>-5</v>
      </c>
    </row>
    <row r="26" spans="1:5" x14ac:dyDescent="0.45">
      <c r="A26" t="s">
        <v>72</v>
      </c>
      <c r="B26">
        <f>prev_INSEE!X26-OLD_INSEE!X26</f>
        <v>0</v>
      </c>
      <c r="C26">
        <f>prev_INSEE!Y26-OLD_INSEE!Y26</f>
        <v>-0.5</v>
      </c>
      <c r="D26">
        <f>prev_INSEE!Z26-OLD_INSEE!Z26</f>
        <v>0</v>
      </c>
      <c r="E26">
        <f>prev_INSEE!AA26-OLD_INSEE!AA26</f>
        <v>5</v>
      </c>
    </row>
    <row r="27" spans="1:5" x14ac:dyDescent="0.45">
      <c r="A27" t="s">
        <v>74</v>
      </c>
      <c r="B27">
        <f>prev_INSEE!X27-OLD_INSEE!X27</f>
        <v>-0.80000000000000071</v>
      </c>
      <c r="C27">
        <f>prev_INSEE!Y27-OLD_INSEE!Y27</f>
        <v>-6</v>
      </c>
      <c r="D27">
        <f>prev_INSEE!Z27-OLD_INSEE!Z27</f>
        <v>-0.5</v>
      </c>
      <c r="E27">
        <f>prev_INSEE!AA27-OLD_INSEE!AA27</f>
        <v>-5</v>
      </c>
    </row>
    <row r="28" spans="1:5" x14ac:dyDescent="0.45">
      <c r="A28" t="s">
        <v>76</v>
      </c>
      <c r="B28">
        <f>prev_INSEE!X28-OLD_INSEE!X28</f>
        <v>0</v>
      </c>
      <c r="C28">
        <f>prev_INSEE!Y28-OLD_INSEE!Y28</f>
        <v>-2.5</v>
      </c>
      <c r="D28">
        <f>prev_INSEE!Z28-OLD_INSEE!Z28</f>
        <v>0</v>
      </c>
      <c r="E28">
        <f>prev_INSEE!AA28-OLD_INSEE!AA28</f>
        <v>-2.5</v>
      </c>
    </row>
    <row r="29" spans="1:5" x14ac:dyDescent="0.45">
      <c r="A29" t="s">
        <v>78</v>
      </c>
      <c r="B29">
        <f>prev_INSEE!X29-OLD_INSEE!X29</f>
        <v>0.47999999999999954</v>
      </c>
      <c r="C29">
        <f>prev_INSEE!Y29-OLD_INSEE!Y29</f>
        <v>0</v>
      </c>
      <c r="D29">
        <f>prev_INSEE!Z29-OLD_INSEE!Z29</f>
        <v>0.70000000000000018</v>
      </c>
      <c r="E29">
        <f>prev_INSEE!AA29-OLD_INSEE!AA29</f>
        <v>-5</v>
      </c>
    </row>
    <row r="30" spans="1:5" x14ac:dyDescent="0.45">
      <c r="A30" t="s">
        <v>80</v>
      </c>
      <c r="B30">
        <f>prev_INSEE!X30-OLD_INSEE!X30</f>
        <v>-0.33000000000000007</v>
      </c>
      <c r="C30">
        <f>prev_INSEE!Y30-OLD_INSEE!Y30</f>
        <v>-5</v>
      </c>
      <c r="D30">
        <f>prev_INSEE!Z30-OLD_INSEE!Z30</f>
        <v>-0.75</v>
      </c>
      <c r="E30">
        <f>prev_INSEE!AA30-OLD_INSEE!AA30</f>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54A21-5C19-411A-9B9F-65C0EAF9C0CF}">
  <dimension ref="A1:AA30"/>
  <sheetViews>
    <sheetView topLeftCell="A28" workbookViewId="0">
      <selection activeCell="C39" sqref="C39"/>
    </sheetView>
  </sheetViews>
  <sheetFormatPr baseColWidth="10" defaultRowHeight="14.25" x14ac:dyDescent="0.45"/>
  <sheetData>
    <row r="1" spans="1:2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141</v>
      </c>
      <c r="Y1" t="s">
        <v>142</v>
      </c>
      <c r="Z1" t="s">
        <v>143</v>
      </c>
      <c r="AA1" t="s">
        <v>144</v>
      </c>
    </row>
    <row r="2" spans="1:27" x14ac:dyDescent="0.45">
      <c r="A2" t="s">
        <v>23</v>
      </c>
      <c r="B2" t="s">
        <v>82</v>
      </c>
      <c r="C2" t="s">
        <v>83</v>
      </c>
      <c r="D2">
        <v>0.6</v>
      </c>
      <c r="E2">
        <v>95</v>
      </c>
      <c r="F2">
        <v>0.6</v>
      </c>
      <c r="G2">
        <v>95</v>
      </c>
      <c r="H2">
        <v>0.6</v>
      </c>
      <c r="I2">
        <v>95</v>
      </c>
      <c r="J2">
        <v>0.6</v>
      </c>
      <c r="K2">
        <v>90</v>
      </c>
      <c r="L2">
        <v>0.6</v>
      </c>
      <c r="M2">
        <v>90</v>
      </c>
      <c r="N2">
        <v>0.6</v>
      </c>
      <c r="O2">
        <v>90</v>
      </c>
      <c r="P2">
        <v>0.6</v>
      </c>
      <c r="Q2">
        <v>90</v>
      </c>
      <c r="R2">
        <v>0.5</v>
      </c>
      <c r="S2">
        <v>90</v>
      </c>
      <c r="T2">
        <v>0.5</v>
      </c>
      <c r="U2">
        <v>90</v>
      </c>
      <c r="V2">
        <v>0.5</v>
      </c>
      <c r="W2">
        <v>90</v>
      </c>
      <c r="X2">
        <f>AVERAGE(D2,F2,H2,J2,L2,N2,P2,R2,T2,V2)</f>
        <v>0.57000000000000006</v>
      </c>
      <c r="Y2">
        <f>AVERAGE(E2,G2,I2,K2,M2,O2,Q2,S2,U2,W2)</f>
        <v>91.5</v>
      </c>
      <c r="Z2">
        <f>MEDIAN(D2,F2,H2,J2,L2,N2,P2,R2,T2,V2)</f>
        <v>0.6</v>
      </c>
      <c r="AA2">
        <f>MEDIAN(E2,G2,I2,K2,M2,O2,Q2,S2,U2,W2)</f>
        <v>90</v>
      </c>
    </row>
    <row r="3" spans="1:27" x14ac:dyDescent="0.45">
      <c r="A3" t="s">
        <v>26</v>
      </c>
      <c r="B3" t="s">
        <v>82</v>
      </c>
      <c r="C3" t="s">
        <v>84</v>
      </c>
      <c r="D3">
        <v>0.5</v>
      </c>
      <c r="E3">
        <v>85</v>
      </c>
      <c r="F3">
        <v>0.5</v>
      </c>
      <c r="G3">
        <v>85</v>
      </c>
      <c r="H3">
        <v>0.5</v>
      </c>
      <c r="I3">
        <v>85</v>
      </c>
      <c r="J3">
        <v>0.5</v>
      </c>
      <c r="K3">
        <v>85</v>
      </c>
      <c r="L3">
        <v>0.5</v>
      </c>
      <c r="M3">
        <v>85</v>
      </c>
      <c r="N3">
        <v>0.5</v>
      </c>
      <c r="O3">
        <v>85</v>
      </c>
      <c r="P3">
        <v>0.5</v>
      </c>
      <c r="Q3">
        <v>85</v>
      </c>
      <c r="R3">
        <v>0.5</v>
      </c>
      <c r="S3">
        <v>90</v>
      </c>
      <c r="T3">
        <v>0.5</v>
      </c>
      <c r="U3">
        <v>90</v>
      </c>
      <c r="V3">
        <v>0.5</v>
      </c>
      <c r="W3">
        <v>90</v>
      </c>
      <c r="X3">
        <f t="shared" ref="X3:X30" si="0">AVERAGE(D3,F3,H3,J3,L3,N3,P3,R3,T3,V3)</f>
        <v>0.5</v>
      </c>
      <c r="Y3">
        <f t="shared" ref="Y3:Y30" si="1">AVERAGE(E3,G3,I3,K3,M3,O3,Q3,S3,U3,W3)</f>
        <v>86.5</v>
      </c>
      <c r="Z3">
        <f t="shared" ref="Z3:Z30" si="2">MEDIAN(D3,F3,H3,J3,L3,N3,P3,R3,T3,V3)</f>
        <v>0.5</v>
      </c>
      <c r="AA3">
        <f t="shared" ref="AA3:AA30" si="3">MEDIAN(E3,G3,I3,K3,M3,O3,Q3,S3,U3,W3)</f>
        <v>85</v>
      </c>
    </row>
    <row r="4" spans="1:27" x14ac:dyDescent="0.45">
      <c r="A4" t="s">
        <v>28</v>
      </c>
      <c r="B4" t="s">
        <v>82</v>
      </c>
      <c r="C4" t="s">
        <v>85</v>
      </c>
      <c r="D4">
        <v>0.5</v>
      </c>
      <c r="E4">
        <v>90</v>
      </c>
      <c r="F4">
        <v>0.5</v>
      </c>
      <c r="G4">
        <v>90</v>
      </c>
      <c r="H4">
        <v>0.5</v>
      </c>
      <c r="I4">
        <v>90</v>
      </c>
      <c r="J4">
        <v>0.4</v>
      </c>
      <c r="K4">
        <v>90</v>
      </c>
      <c r="L4">
        <v>0.4</v>
      </c>
      <c r="M4">
        <v>90</v>
      </c>
      <c r="N4">
        <v>0.4</v>
      </c>
      <c r="O4">
        <v>90</v>
      </c>
      <c r="P4">
        <v>0.4</v>
      </c>
      <c r="Q4">
        <v>90</v>
      </c>
      <c r="R4">
        <v>0.4</v>
      </c>
      <c r="S4">
        <v>85</v>
      </c>
      <c r="T4">
        <v>0.4</v>
      </c>
      <c r="U4">
        <v>85</v>
      </c>
      <c r="V4">
        <v>0.4</v>
      </c>
      <c r="W4">
        <v>85</v>
      </c>
      <c r="X4">
        <f t="shared" si="0"/>
        <v>0.43</v>
      </c>
      <c r="Y4">
        <f t="shared" si="1"/>
        <v>88.5</v>
      </c>
      <c r="Z4">
        <f t="shared" si="2"/>
        <v>0.4</v>
      </c>
      <c r="AA4">
        <f t="shared" si="3"/>
        <v>90</v>
      </c>
    </row>
    <row r="5" spans="1:27" x14ac:dyDescent="0.45">
      <c r="A5" t="s">
        <v>30</v>
      </c>
      <c r="B5" t="s">
        <v>82</v>
      </c>
      <c r="C5" t="s">
        <v>86</v>
      </c>
      <c r="D5">
        <v>0.4</v>
      </c>
      <c r="E5">
        <v>90</v>
      </c>
      <c r="F5">
        <v>0.4</v>
      </c>
      <c r="G5">
        <v>90</v>
      </c>
      <c r="H5">
        <v>0.4</v>
      </c>
      <c r="I5">
        <v>90</v>
      </c>
      <c r="J5">
        <v>0.4</v>
      </c>
      <c r="K5">
        <v>90</v>
      </c>
      <c r="L5">
        <v>0.4</v>
      </c>
      <c r="M5">
        <v>90</v>
      </c>
      <c r="N5">
        <v>0.4</v>
      </c>
      <c r="O5">
        <v>90</v>
      </c>
      <c r="P5">
        <v>0.4</v>
      </c>
      <c r="Q5">
        <v>90</v>
      </c>
      <c r="R5">
        <v>0.4</v>
      </c>
      <c r="S5">
        <v>90</v>
      </c>
      <c r="T5">
        <v>0.4</v>
      </c>
      <c r="U5">
        <v>90</v>
      </c>
      <c r="V5">
        <v>0.4</v>
      </c>
      <c r="W5">
        <v>90</v>
      </c>
      <c r="X5">
        <f t="shared" si="0"/>
        <v>0.39999999999999997</v>
      </c>
      <c r="Y5">
        <f t="shared" si="1"/>
        <v>90</v>
      </c>
      <c r="Z5">
        <f t="shared" si="2"/>
        <v>0.4</v>
      </c>
      <c r="AA5">
        <f t="shared" si="3"/>
        <v>90</v>
      </c>
    </row>
    <row r="6" spans="1:27" x14ac:dyDescent="0.45">
      <c r="A6" t="s">
        <v>32</v>
      </c>
      <c r="B6" t="s">
        <v>82</v>
      </c>
      <c r="C6" t="s">
        <v>87</v>
      </c>
      <c r="D6">
        <v>0.3</v>
      </c>
      <c r="E6">
        <v>75</v>
      </c>
      <c r="F6">
        <v>0.3</v>
      </c>
      <c r="G6">
        <v>75</v>
      </c>
      <c r="H6">
        <v>0.3</v>
      </c>
      <c r="I6">
        <v>75</v>
      </c>
      <c r="J6">
        <v>0.3</v>
      </c>
      <c r="K6">
        <v>75</v>
      </c>
      <c r="L6">
        <v>0.3</v>
      </c>
      <c r="M6">
        <v>75</v>
      </c>
      <c r="N6">
        <v>0.3</v>
      </c>
      <c r="O6">
        <v>75</v>
      </c>
      <c r="P6">
        <v>0.3</v>
      </c>
      <c r="Q6">
        <v>75</v>
      </c>
      <c r="R6">
        <v>0.4</v>
      </c>
      <c r="S6">
        <v>75</v>
      </c>
      <c r="T6">
        <v>0.4</v>
      </c>
      <c r="U6">
        <v>75</v>
      </c>
      <c r="V6">
        <v>0.4</v>
      </c>
      <c r="W6">
        <v>75</v>
      </c>
      <c r="X6">
        <f t="shared" si="0"/>
        <v>0.32999999999999996</v>
      </c>
      <c r="Y6">
        <f t="shared" si="1"/>
        <v>75</v>
      </c>
      <c r="Z6">
        <f t="shared" si="2"/>
        <v>0.3</v>
      </c>
      <c r="AA6">
        <f t="shared" si="3"/>
        <v>75</v>
      </c>
    </row>
    <row r="7" spans="1:27" x14ac:dyDescent="0.45">
      <c r="A7" t="s">
        <v>34</v>
      </c>
      <c r="B7" t="s">
        <v>82</v>
      </c>
      <c r="C7" t="s">
        <v>88</v>
      </c>
      <c r="D7">
        <v>0.3</v>
      </c>
      <c r="E7">
        <v>80</v>
      </c>
      <c r="F7">
        <v>0.3</v>
      </c>
      <c r="G7">
        <v>80</v>
      </c>
      <c r="H7">
        <v>0.3</v>
      </c>
      <c r="I7">
        <v>80</v>
      </c>
      <c r="J7">
        <v>0.3</v>
      </c>
      <c r="K7">
        <v>75</v>
      </c>
      <c r="L7">
        <v>0.3</v>
      </c>
      <c r="M7">
        <v>75</v>
      </c>
      <c r="N7">
        <v>0.3</v>
      </c>
      <c r="O7">
        <v>80</v>
      </c>
      <c r="P7">
        <v>0.3</v>
      </c>
      <c r="Q7">
        <v>80</v>
      </c>
      <c r="R7">
        <v>0.3</v>
      </c>
      <c r="S7">
        <v>85</v>
      </c>
      <c r="T7">
        <v>0.3</v>
      </c>
      <c r="U7">
        <v>85</v>
      </c>
      <c r="V7">
        <v>0.3</v>
      </c>
      <c r="W7">
        <v>85</v>
      </c>
      <c r="X7">
        <f t="shared" si="0"/>
        <v>0.29999999999999993</v>
      </c>
      <c r="Y7">
        <f t="shared" si="1"/>
        <v>80.5</v>
      </c>
      <c r="Z7">
        <f t="shared" si="2"/>
        <v>0.3</v>
      </c>
      <c r="AA7">
        <f t="shared" si="3"/>
        <v>80</v>
      </c>
    </row>
    <row r="8" spans="1:27" x14ac:dyDescent="0.45">
      <c r="A8" t="s">
        <v>36</v>
      </c>
      <c r="B8" t="s">
        <v>82</v>
      </c>
      <c r="C8" t="s">
        <v>89</v>
      </c>
      <c r="D8">
        <v>0.3</v>
      </c>
      <c r="E8">
        <v>85</v>
      </c>
      <c r="F8">
        <v>0.3</v>
      </c>
      <c r="G8">
        <v>85</v>
      </c>
      <c r="H8">
        <v>0.3</v>
      </c>
      <c r="I8">
        <v>85</v>
      </c>
      <c r="J8">
        <v>0.3</v>
      </c>
      <c r="K8">
        <v>85</v>
      </c>
      <c r="L8">
        <v>0.3</v>
      </c>
      <c r="M8">
        <v>85</v>
      </c>
      <c r="N8">
        <v>0.3</v>
      </c>
      <c r="O8">
        <v>75</v>
      </c>
      <c r="P8">
        <v>0.3</v>
      </c>
      <c r="Q8">
        <v>75</v>
      </c>
      <c r="R8">
        <v>0.3</v>
      </c>
      <c r="S8">
        <v>75</v>
      </c>
      <c r="T8">
        <v>0.3</v>
      </c>
      <c r="U8">
        <v>75</v>
      </c>
      <c r="V8">
        <v>0.3</v>
      </c>
      <c r="W8">
        <v>75</v>
      </c>
      <c r="X8">
        <f t="shared" si="0"/>
        <v>0.29999999999999993</v>
      </c>
      <c r="Y8">
        <f t="shared" si="1"/>
        <v>80</v>
      </c>
      <c r="Z8">
        <f t="shared" si="2"/>
        <v>0.3</v>
      </c>
      <c r="AA8">
        <f t="shared" si="3"/>
        <v>80</v>
      </c>
    </row>
    <row r="9" spans="1:27" x14ac:dyDescent="0.45">
      <c r="A9" t="s">
        <v>38</v>
      </c>
      <c r="B9" t="s">
        <v>82</v>
      </c>
      <c r="C9" t="s">
        <v>90</v>
      </c>
      <c r="D9">
        <v>0.3</v>
      </c>
      <c r="E9">
        <v>75</v>
      </c>
      <c r="F9">
        <v>0.3</v>
      </c>
      <c r="G9">
        <v>75</v>
      </c>
      <c r="H9">
        <v>0.3</v>
      </c>
      <c r="I9">
        <v>75</v>
      </c>
      <c r="J9">
        <v>0.4</v>
      </c>
      <c r="K9">
        <v>70</v>
      </c>
      <c r="L9">
        <v>0.4</v>
      </c>
      <c r="M9">
        <v>70</v>
      </c>
      <c r="N9">
        <v>0.3</v>
      </c>
      <c r="O9">
        <v>75</v>
      </c>
      <c r="P9">
        <v>0.3</v>
      </c>
      <c r="Q9">
        <v>75</v>
      </c>
      <c r="R9">
        <v>0.4</v>
      </c>
      <c r="S9">
        <v>75</v>
      </c>
      <c r="T9">
        <v>0.4</v>
      </c>
      <c r="U9">
        <v>75</v>
      </c>
      <c r="V9">
        <v>0.4</v>
      </c>
      <c r="W9">
        <v>75</v>
      </c>
      <c r="X9">
        <f t="shared" si="0"/>
        <v>0.35</v>
      </c>
      <c r="Y9">
        <f t="shared" si="1"/>
        <v>74</v>
      </c>
      <c r="Z9">
        <f t="shared" si="2"/>
        <v>0.35</v>
      </c>
      <c r="AA9">
        <f t="shared" si="3"/>
        <v>75</v>
      </c>
    </row>
    <row r="10" spans="1:27" x14ac:dyDescent="0.45">
      <c r="A10" t="s">
        <v>40</v>
      </c>
      <c r="B10" t="s">
        <v>82</v>
      </c>
      <c r="C10" t="s">
        <v>91</v>
      </c>
      <c r="D10">
        <v>0.4</v>
      </c>
      <c r="E10">
        <v>85</v>
      </c>
      <c r="F10">
        <v>0.4</v>
      </c>
      <c r="G10">
        <v>85</v>
      </c>
      <c r="H10">
        <v>0.4</v>
      </c>
      <c r="I10">
        <v>85</v>
      </c>
      <c r="J10">
        <v>0.3</v>
      </c>
      <c r="K10">
        <v>75</v>
      </c>
      <c r="L10">
        <v>0.3</v>
      </c>
      <c r="M10">
        <v>75</v>
      </c>
      <c r="N10">
        <v>0.4</v>
      </c>
      <c r="O10">
        <v>80</v>
      </c>
      <c r="P10">
        <v>0.4</v>
      </c>
      <c r="Q10">
        <v>80</v>
      </c>
      <c r="R10">
        <v>0.3</v>
      </c>
      <c r="S10">
        <v>80</v>
      </c>
      <c r="T10">
        <v>0.3</v>
      </c>
      <c r="U10">
        <v>80</v>
      </c>
      <c r="V10">
        <v>0.3</v>
      </c>
      <c r="W10">
        <v>80</v>
      </c>
      <c r="X10">
        <f t="shared" si="0"/>
        <v>0.35</v>
      </c>
      <c r="Y10">
        <f t="shared" si="1"/>
        <v>80.5</v>
      </c>
      <c r="Z10">
        <f t="shared" si="2"/>
        <v>0.35</v>
      </c>
      <c r="AA10">
        <f t="shared" si="3"/>
        <v>80</v>
      </c>
    </row>
    <row r="11" spans="1:27" x14ac:dyDescent="0.45">
      <c r="A11" t="s">
        <v>42</v>
      </c>
      <c r="B11" t="s">
        <v>82</v>
      </c>
      <c r="C11" t="s">
        <v>92</v>
      </c>
      <c r="D11">
        <v>0.4</v>
      </c>
      <c r="E11">
        <v>75</v>
      </c>
      <c r="F11">
        <v>0.4</v>
      </c>
      <c r="G11">
        <v>75</v>
      </c>
      <c r="H11">
        <v>0.4</v>
      </c>
      <c r="I11">
        <v>75</v>
      </c>
      <c r="J11">
        <v>0.4</v>
      </c>
      <c r="K11">
        <v>85</v>
      </c>
      <c r="L11">
        <v>0.4</v>
      </c>
      <c r="M11">
        <v>85</v>
      </c>
      <c r="N11">
        <v>0.4</v>
      </c>
      <c r="O11">
        <v>85</v>
      </c>
      <c r="P11">
        <v>0.4</v>
      </c>
      <c r="Q11">
        <v>85</v>
      </c>
      <c r="R11">
        <v>0.3</v>
      </c>
      <c r="S11">
        <v>80</v>
      </c>
      <c r="T11">
        <v>0.3</v>
      </c>
      <c r="U11">
        <v>80</v>
      </c>
      <c r="V11">
        <v>0.4</v>
      </c>
      <c r="W11">
        <v>80</v>
      </c>
      <c r="X11">
        <f t="shared" si="0"/>
        <v>0.37999999999999995</v>
      </c>
      <c r="Y11">
        <f t="shared" si="1"/>
        <v>80.5</v>
      </c>
      <c r="Z11">
        <f t="shared" si="2"/>
        <v>0.4</v>
      </c>
      <c r="AA11">
        <f t="shared" si="3"/>
        <v>80</v>
      </c>
    </row>
    <row r="12" spans="1:27" x14ac:dyDescent="0.45">
      <c r="A12" t="s">
        <v>44</v>
      </c>
      <c r="B12" t="s">
        <v>82</v>
      </c>
      <c r="C12" t="s">
        <v>93</v>
      </c>
      <c r="D12">
        <v>0.3</v>
      </c>
      <c r="E12">
        <v>75</v>
      </c>
      <c r="F12">
        <v>0.3</v>
      </c>
      <c r="G12">
        <v>75</v>
      </c>
      <c r="H12">
        <v>0.3</v>
      </c>
      <c r="I12">
        <v>75</v>
      </c>
      <c r="J12">
        <v>0.3</v>
      </c>
      <c r="K12">
        <v>70</v>
      </c>
      <c r="L12">
        <v>0.3</v>
      </c>
      <c r="M12">
        <v>70</v>
      </c>
      <c r="N12">
        <v>0.3</v>
      </c>
      <c r="O12">
        <v>75</v>
      </c>
      <c r="P12">
        <v>0.3</v>
      </c>
      <c r="Q12">
        <v>75</v>
      </c>
      <c r="R12">
        <v>0.3</v>
      </c>
      <c r="S12">
        <v>80</v>
      </c>
      <c r="T12">
        <v>0.3</v>
      </c>
      <c r="U12">
        <v>80</v>
      </c>
      <c r="V12">
        <v>0.3</v>
      </c>
      <c r="W12">
        <v>80</v>
      </c>
      <c r="X12">
        <f t="shared" si="0"/>
        <v>0.29999999999999993</v>
      </c>
      <c r="Y12">
        <f t="shared" si="1"/>
        <v>75.5</v>
      </c>
      <c r="Z12">
        <f t="shared" si="2"/>
        <v>0.3</v>
      </c>
      <c r="AA12">
        <f t="shared" si="3"/>
        <v>75</v>
      </c>
    </row>
    <row r="13" spans="1:27" x14ac:dyDescent="0.45">
      <c r="A13" t="s">
        <v>46</v>
      </c>
      <c r="B13" t="s">
        <v>82</v>
      </c>
      <c r="C13" t="s">
        <v>94</v>
      </c>
      <c r="D13">
        <v>0.2</v>
      </c>
      <c r="E13">
        <v>65</v>
      </c>
      <c r="F13">
        <v>0.2</v>
      </c>
      <c r="G13">
        <v>65</v>
      </c>
      <c r="H13">
        <v>0.2</v>
      </c>
      <c r="I13">
        <v>65</v>
      </c>
      <c r="J13">
        <v>0.2</v>
      </c>
      <c r="K13">
        <v>55</v>
      </c>
      <c r="L13">
        <v>0.2</v>
      </c>
      <c r="M13">
        <v>55</v>
      </c>
      <c r="N13">
        <v>0.2</v>
      </c>
      <c r="O13">
        <v>60</v>
      </c>
      <c r="P13">
        <v>0.2</v>
      </c>
      <c r="Q13">
        <v>60</v>
      </c>
      <c r="R13">
        <v>0.2</v>
      </c>
      <c r="S13">
        <v>50</v>
      </c>
      <c r="T13">
        <v>0.2</v>
      </c>
      <c r="U13">
        <v>50</v>
      </c>
      <c r="V13">
        <v>0.2</v>
      </c>
      <c r="W13">
        <v>50</v>
      </c>
      <c r="X13">
        <f t="shared" si="0"/>
        <v>0.19999999999999998</v>
      </c>
      <c r="Y13">
        <f t="shared" si="1"/>
        <v>57.5</v>
      </c>
      <c r="Z13">
        <f t="shared" si="2"/>
        <v>0.2</v>
      </c>
      <c r="AA13">
        <f t="shared" si="3"/>
        <v>57.5</v>
      </c>
    </row>
    <row r="14" spans="1:27" x14ac:dyDescent="0.45">
      <c r="A14" t="s">
        <v>48</v>
      </c>
      <c r="B14" t="s">
        <v>82</v>
      </c>
      <c r="C14" t="s">
        <v>95</v>
      </c>
      <c r="D14">
        <v>0.2</v>
      </c>
      <c r="E14">
        <v>85</v>
      </c>
      <c r="F14">
        <v>0.2</v>
      </c>
      <c r="G14">
        <v>85</v>
      </c>
      <c r="H14">
        <v>0.2</v>
      </c>
      <c r="I14">
        <v>85</v>
      </c>
      <c r="J14">
        <v>0.2</v>
      </c>
      <c r="K14">
        <v>75</v>
      </c>
      <c r="L14">
        <v>0.2</v>
      </c>
      <c r="M14">
        <v>75</v>
      </c>
      <c r="N14">
        <v>0.2</v>
      </c>
      <c r="O14">
        <v>90</v>
      </c>
      <c r="P14">
        <v>0.2</v>
      </c>
      <c r="Q14">
        <v>90</v>
      </c>
      <c r="R14">
        <v>0.2</v>
      </c>
      <c r="S14">
        <v>80</v>
      </c>
      <c r="T14">
        <v>0.2</v>
      </c>
      <c r="U14">
        <v>80</v>
      </c>
      <c r="V14">
        <v>0.2</v>
      </c>
      <c r="W14">
        <v>80</v>
      </c>
      <c r="X14">
        <f t="shared" si="0"/>
        <v>0.19999999999999998</v>
      </c>
      <c r="Y14">
        <f t="shared" si="1"/>
        <v>82.5</v>
      </c>
      <c r="Z14">
        <f t="shared" si="2"/>
        <v>0.2</v>
      </c>
      <c r="AA14">
        <f t="shared" si="3"/>
        <v>82.5</v>
      </c>
    </row>
    <row r="15" spans="1:27" x14ac:dyDescent="0.45">
      <c r="A15" t="s">
        <v>50</v>
      </c>
      <c r="B15" t="s">
        <v>82</v>
      </c>
      <c r="C15" t="s">
        <v>96</v>
      </c>
      <c r="D15">
        <v>0.4</v>
      </c>
      <c r="E15">
        <v>75</v>
      </c>
      <c r="F15">
        <v>0.4</v>
      </c>
      <c r="G15">
        <v>75</v>
      </c>
      <c r="H15">
        <v>0.4</v>
      </c>
      <c r="I15">
        <v>75</v>
      </c>
      <c r="J15">
        <v>0.4</v>
      </c>
      <c r="K15">
        <v>80</v>
      </c>
      <c r="L15">
        <v>0.4</v>
      </c>
      <c r="M15">
        <v>80</v>
      </c>
      <c r="N15">
        <v>0.4</v>
      </c>
      <c r="O15">
        <v>70</v>
      </c>
      <c r="P15">
        <v>0.4</v>
      </c>
      <c r="Q15">
        <v>70</v>
      </c>
      <c r="R15">
        <v>0.4</v>
      </c>
      <c r="S15">
        <v>75</v>
      </c>
      <c r="T15">
        <v>0.4</v>
      </c>
      <c r="U15">
        <v>75</v>
      </c>
      <c r="V15">
        <v>0.4</v>
      </c>
      <c r="W15">
        <v>75</v>
      </c>
      <c r="X15">
        <f t="shared" si="0"/>
        <v>0.39999999999999997</v>
      </c>
      <c r="Y15">
        <f t="shared" si="1"/>
        <v>75</v>
      </c>
      <c r="Z15">
        <f t="shared" si="2"/>
        <v>0.4</v>
      </c>
      <c r="AA15">
        <f t="shared" si="3"/>
        <v>75</v>
      </c>
    </row>
    <row r="16" spans="1:27" x14ac:dyDescent="0.45">
      <c r="A16" t="s">
        <v>52</v>
      </c>
      <c r="B16" t="s">
        <v>82</v>
      </c>
      <c r="C16" t="s">
        <v>97</v>
      </c>
      <c r="D16">
        <v>0.3</v>
      </c>
      <c r="E16">
        <v>75</v>
      </c>
      <c r="F16">
        <v>0.3</v>
      </c>
      <c r="G16">
        <v>75</v>
      </c>
      <c r="H16">
        <v>0.3</v>
      </c>
      <c r="I16">
        <v>75</v>
      </c>
      <c r="J16">
        <v>0.3</v>
      </c>
      <c r="K16">
        <v>80</v>
      </c>
      <c r="L16">
        <v>0.3</v>
      </c>
      <c r="M16">
        <v>80</v>
      </c>
      <c r="N16">
        <v>0.4</v>
      </c>
      <c r="O16">
        <v>75</v>
      </c>
      <c r="P16">
        <v>0.4</v>
      </c>
      <c r="Q16">
        <v>75</v>
      </c>
      <c r="R16">
        <v>0.3</v>
      </c>
      <c r="S16">
        <v>80</v>
      </c>
      <c r="T16">
        <v>0.3</v>
      </c>
      <c r="U16">
        <v>80</v>
      </c>
      <c r="V16">
        <v>0.3</v>
      </c>
      <c r="W16">
        <v>80</v>
      </c>
      <c r="X16">
        <f t="shared" si="0"/>
        <v>0.31999999999999995</v>
      </c>
      <c r="Y16">
        <f t="shared" si="1"/>
        <v>77.5</v>
      </c>
      <c r="Z16">
        <f t="shared" si="2"/>
        <v>0.3</v>
      </c>
      <c r="AA16">
        <f t="shared" si="3"/>
        <v>77.5</v>
      </c>
    </row>
    <row r="17" spans="1:27" x14ac:dyDescent="0.45">
      <c r="A17" t="s">
        <v>54</v>
      </c>
      <c r="B17" t="s">
        <v>82</v>
      </c>
      <c r="C17" t="s">
        <v>98</v>
      </c>
      <c r="D17">
        <v>0.3</v>
      </c>
      <c r="E17">
        <v>85</v>
      </c>
      <c r="F17">
        <v>0.3</v>
      </c>
      <c r="G17">
        <v>85</v>
      </c>
      <c r="H17">
        <v>0.3</v>
      </c>
      <c r="I17">
        <v>85</v>
      </c>
      <c r="J17">
        <v>0.3</v>
      </c>
      <c r="K17">
        <v>70</v>
      </c>
      <c r="L17">
        <v>0.3</v>
      </c>
      <c r="M17">
        <v>70</v>
      </c>
      <c r="N17">
        <v>0.3</v>
      </c>
      <c r="O17">
        <v>80</v>
      </c>
      <c r="P17">
        <v>0.3</v>
      </c>
      <c r="Q17">
        <v>80</v>
      </c>
      <c r="R17">
        <v>0.3</v>
      </c>
      <c r="S17">
        <v>80</v>
      </c>
      <c r="T17">
        <v>0.3</v>
      </c>
      <c r="U17">
        <v>80</v>
      </c>
      <c r="V17">
        <v>0.3</v>
      </c>
      <c r="W17">
        <v>80</v>
      </c>
      <c r="X17">
        <f t="shared" si="0"/>
        <v>0.29999999999999993</v>
      </c>
      <c r="Y17">
        <f t="shared" si="1"/>
        <v>79.5</v>
      </c>
      <c r="Z17">
        <f t="shared" si="2"/>
        <v>0.3</v>
      </c>
      <c r="AA17">
        <f t="shared" si="3"/>
        <v>80</v>
      </c>
    </row>
    <row r="18" spans="1:27" x14ac:dyDescent="0.45">
      <c r="A18" t="s">
        <v>56</v>
      </c>
      <c r="B18" t="s">
        <v>82</v>
      </c>
      <c r="C18" t="s">
        <v>99</v>
      </c>
      <c r="D18">
        <v>0.3</v>
      </c>
      <c r="E18">
        <v>70</v>
      </c>
      <c r="F18">
        <v>0.3</v>
      </c>
      <c r="G18">
        <v>70</v>
      </c>
      <c r="H18">
        <v>0.3</v>
      </c>
      <c r="I18">
        <v>70</v>
      </c>
      <c r="J18">
        <v>0.3</v>
      </c>
      <c r="K18">
        <v>80</v>
      </c>
      <c r="L18">
        <v>0.3</v>
      </c>
      <c r="M18">
        <v>80</v>
      </c>
      <c r="N18">
        <v>0.3</v>
      </c>
      <c r="O18">
        <v>80</v>
      </c>
      <c r="P18">
        <v>0.3</v>
      </c>
      <c r="Q18">
        <v>80</v>
      </c>
      <c r="R18">
        <v>0.3</v>
      </c>
      <c r="S18">
        <v>80</v>
      </c>
      <c r="T18">
        <v>0.3</v>
      </c>
      <c r="U18">
        <v>80</v>
      </c>
      <c r="V18">
        <v>0.3</v>
      </c>
      <c r="W18">
        <v>80</v>
      </c>
      <c r="X18">
        <f t="shared" si="0"/>
        <v>0.29999999999999993</v>
      </c>
      <c r="Y18">
        <f t="shared" si="1"/>
        <v>77</v>
      </c>
      <c r="Z18">
        <f t="shared" si="2"/>
        <v>0.3</v>
      </c>
      <c r="AA18">
        <f t="shared" si="3"/>
        <v>80</v>
      </c>
    </row>
    <row r="19" spans="1:27" x14ac:dyDescent="0.45">
      <c r="A19" t="s">
        <v>58</v>
      </c>
      <c r="B19" t="s">
        <v>82</v>
      </c>
      <c r="C19" t="s">
        <v>100</v>
      </c>
      <c r="D19">
        <v>0.3</v>
      </c>
      <c r="E19">
        <v>80</v>
      </c>
      <c r="F19">
        <v>0.3</v>
      </c>
      <c r="G19">
        <v>80</v>
      </c>
      <c r="H19">
        <v>0.3</v>
      </c>
      <c r="I19">
        <v>80</v>
      </c>
      <c r="J19">
        <v>0.3</v>
      </c>
      <c r="K19">
        <v>90</v>
      </c>
      <c r="L19">
        <v>0.3</v>
      </c>
      <c r="M19">
        <v>90</v>
      </c>
      <c r="N19">
        <v>0.3</v>
      </c>
      <c r="O19">
        <v>80</v>
      </c>
      <c r="P19">
        <v>0.3</v>
      </c>
      <c r="Q19">
        <v>80</v>
      </c>
      <c r="R19">
        <v>0.3</v>
      </c>
      <c r="S19">
        <v>80</v>
      </c>
      <c r="T19">
        <v>0.3</v>
      </c>
      <c r="U19">
        <v>80</v>
      </c>
      <c r="V19">
        <v>0.3</v>
      </c>
      <c r="W19">
        <v>80</v>
      </c>
      <c r="X19">
        <f t="shared" si="0"/>
        <v>0.29999999999999993</v>
      </c>
      <c r="Y19">
        <f t="shared" si="1"/>
        <v>82</v>
      </c>
      <c r="Z19">
        <f t="shared" si="2"/>
        <v>0.3</v>
      </c>
      <c r="AA19">
        <f t="shared" si="3"/>
        <v>80</v>
      </c>
    </row>
    <row r="20" spans="1:27" x14ac:dyDescent="0.45">
      <c r="A20" t="s">
        <v>60</v>
      </c>
      <c r="B20" t="s">
        <v>82</v>
      </c>
      <c r="C20" t="s">
        <v>101</v>
      </c>
      <c r="D20">
        <v>0.3</v>
      </c>
      <c r="E20">
        <v>85</v>
      </c>
      <c r="F20">
        <v>0.3</v>
      </c>
      <c r="G20">
        <v>85</v>
      </c>
      <c r="H20">
        <v>0.3</v>
      </c>
      <c r="I20">
        <v>85</v>
      </c>
      <c r="J20">
        <v>0.3</v>
      </c>
      <c r="K20">
        <v>80</v>
      </c>
      <c r="L20">
        <v>0.3</v>
      </c>
      <c r="M20">
        <v>80</v>
      </c>
      <c r="N20">
        <v>0.3</v>
      </c>
      <c r="O20">
        <v>85</v>
      </c>
      <c r="P20">
        <v>0.3</v>
      </c>
      <c r="Q20">
        <v>85</v>
      </c>
      <c r="R20">
        <v>0.3</v>
      </c>
      <c r="S20">
        <v>85</v>
      </c>
      <c r="T20">
        <v>0.3</v>
      </c>
      <c r="U20">
        <v>85</v>
      </c>
      <c r="V20">
        <v>0.3</v>
      </c>
      <c r="W20">
        <v>85</v>
      </c>
      <c r="X20">
        <f t="shared" si="0"/>
        <v>0.29999999999999993</v>
      </c>
      <c r="Y20">
        <f t="shared" si="1"/>
        <v>84</v>
      </c>
      <c r="Z20">
        <f t="shared" si="2"/>
        <v>0.3</v>
      </c>
      <c r="AA20">
        <f t="shared" si="3"/>
        <v>85</v>
      </c>
    </row>
    <row r="21" spans="1:27" x14ac:dyDescent="0.45">
      <c r="A21" t="s">
        <v>62</v>
      </c>
      <c r="B21" t="s">
        <v>82</v>
      </c>
      <c r="C21" t="s">
        <v>102</v>
      </c>
      <c r="D21">
        <v>0.3</v>
      </c>
      <c r="E21">
        <v>65</v>
      </c>
      <c r="F21">
        <v>0.3</v>
      </c>
      <c r="G21">
        <v>65</v>
      </c>
      <c r="H21">
        <v>0.3</v>
      </c>
      <c r="I21">
        <v>65</v>
      </c>
      <c r="J21">
        <v>0.2</v>
      </c>
      <c r="K21">
        <v>65</v>
      </c>
      <c r="L21">
        <v>0.2</v>
      </c>
      <c r="M21">
        <v>65</v>
      </c>
      <c r="N21">
        <v>0.2</v>
      </c>
      <c r="O21">
        <v>70</v>
      </c>
      <c r="P21">
        <v>0.2</v>
      </c>
      <c r="Q21">
        <v>70</v>
      </c>
      <c r="R21">
        <v>0.3</v>
      </c>
      <c r="S21">
        <v>70</v>
      </c>
      <c r="T21">
        <v>0.3</v>
      </c>
      <c r="U21">
        <v>70</v>
      </c>
      <c r="V21">
        <v>0.3</v>
      </c>
      <c r="W21">
        <v>70</v>
      </c>
      <c r="X21">
        <f t="shared" si="0"/>
        <v>0.25999999999999995</v>
      </c>
      <c r="Y21">
        <f t="shared" si="1"/>
        <v>67.5</v>
      </c>
      <c r="Z21">
        <f t="shared" si="2"/>
        <v>0.3</v>
      </c>
      <c r="AA21">
        <f t="shared" si="3"/>
        <v>67.5</v>
      </c>
    </row>
    <row r="22" spans="1:27" x14ac:dyDescent="0.45">
      <c r="A22" t="s">
        <v>64</v>
      </c>
      <c r="B22" t="s">
        <v>82</v>
      </c>
      <c r="C22" t="s">
        <v>103</v>
      </c>
      <c r="D22">
        <v>0.3</v>
      </c>
      <c r="E22">
        <v>75</v>
      </c>
      <c r="F22">
        <v>0.3</v>
      </c>
      <c r="G22">
        <v>75</v>
      </c>
      <c r="H22">
        <v>0.3</v>
      </c>
      <c r="I22">
        <v>75</v>
      </c>
      <c r="J22">
        <v>0.3</v>
      </c>
      <c r="K22">
        <v>80</v>
      </c>
      <c r="L22">
        <v>0.3</v>
      </c>
      <c r="M22">
        <v>80</v>
      </c>
      <c r="N22">
        <v>0.3</v>
      </c>
      <c r="O22">
        <v>80</v>
      </c>
      <c r="P22">
        <v>0.3</v>
      </c>
      <c r="Q22">
        <v>80</v>
      </c>
      <c r="R22">
        <v>0.2</v>
      </c>
      <c r="S22">
        <v>75</v>
      </c>
      <c r="T22">
        <v>0.2</v>
      </c>
      <c r="U22">
        <v>75</v>
      </c>
      <c r="V22">
        <v>0.2</v>
      </c>
      <c r="W22">
        <v>75</v>
      </c>
      <c r="X22">
        <f t="shared" si="0"/>
        <v>0.27000000000000007</v>
      </c>
      <c r="Y22">
        <f t="shared" si="1"/>
        <v>77</v>
      </c>
      <c r="Z22">
        <f t="shared" si="2"/>
        <v>0.3</v>
      </c>
      <c r="AA22">
        <f t="shared" si="3"/>
        <v>75</v>
      </c>
    </row>
    <row r="23" spans="1:27" x14ac:dyDescent="0.45">
      <c r="A23" t="s">
        <v>66</v>
      </c>
      <c r="B23" t="s">
        <v>82</v>
      </c>
      <c r="C23" t="s">
        <v>104</v>
      </c>
      <c r="D23">
        <v>0.2</v>
      </c>
      <c r="E23">
        <v>80</v>
      </c>
      <c r="F23">
        <v>0.2</v>
      </c>
      <c r="G23">
        <v>80</v>
      </c>
      <c r="H23">
        <v>0.2</v>
      </c>
      <c r="I23">
        <v>80</v>
      </c>
      <c r="J23">
        <v>0.3</v>
      </c>
      <c r="K23">
        <v>85</v>
      </c>
      <c r="L23">
        <v>0.3</v>
      </c>
      <c r="M23">
        <v>85</v>
      </c>
      <c r="N23">
        <v>0.2</v>
      </c>
      <c r="O23">
        <v>85</v>
      </c>
      <c r="P23">
        <v>0.2</v>
      </c>
      <c r="Q23">
        <v>85</v>
      </c>
      <c r="R23">
        <v>0.3</v>
      </c>
      <c r="S23">
        <v>85</v>
      </c>
      <c r="T23">
        <v>0.3</v>
      </c>
      <c r="U23">
        <v>85</v>
      </c>
      <c r="V23">
        <v>0.3</v>
      </c>
      <c r="W23">
        <v>85</v>
      </c>
      <c r="X23">
        <f t="shared" si="0"/>
        <v>0.25</v>
      </c>
      <c r="Y23">
        <f t="shared" si="1"/>
        <v>83.5</v>
      </c>
      <c r="Z23">
        <f t="shared" si="2"/>
        <v>0.25</v>
      </c>
      <c r="AA23">
        <f t="shared" si="3"/>
        <v>85</v>
      </c>
    </row>
    <row r="24" spans="1:27" x14ac:dyDescent="0.45">
      <c r="A24" t="s">
        <v>68</v>
      </c>
      <c r="B24" t="s">
        <v>82</v>
      </c>
      <c r="C24" t="s">
        <v>105</v>
      </c>
      <c r="D24">
        <v>0.3</v>
      </c>
      <c r="E24">
        <v>80</v>
      </c>
      <c r="F24">
        <v>0.3</v>
      </c>
      <c r="G24">
        <v>80</v>
      </c>
      <c r="H24">
        <v>0.3</v>
      </c>
      <c r="I24">
        <v>80</v>
      </c>
      <c r="J24">
        <v>0.2</v>
      </c>
      <c r="K24">
        <v>75</v>
      </c>
      <c r="L24">
        <v>0.2</v>
      </c>
      <c r="M24">
        <v>75</v>
      </c>
      <c r="N24">
        <v>0.2</v>
      </c>
      <c r="O24">
        <v>80</v>
      </c>
      <c r="P24">
        <v>0.2</v>
      </c>
      <c r="Q24">
        <v>80</v>
      </c>
      <c r="R24">
        <v>0.3</v>
      </c>
      <c r="S24">
        <v>80</v>
      </c>
      <c r="T24">
        <v>0.3</v>
      </c>
      <c r="U24">
        <v>80</v>
      </c>
      <c r="V24">
        <v>0.3</v>
      </c>
      <c r="W24">
        <v>80</v>
      </c>
      <c r="X24">
        <f t="shared" si="0"/>
        <v>0.25999999999999995</v>
      </c>
      <c r="Y24">
        <f t="shared" si="1"/>
        <v>79</v>
      </c>
      <c r="Z24">
        <f t="shared" si="2"/>
        <v>0.3</v>
      </c>
      <c r="AA24">
        <f t="shared" si="3"/>
        <v>80</v>
      </c>
    </row>
    <row r="25" spans="1:27" x14ac:dyDescent="0.45">
      <c r="A25" t="s">
        <v>70</v>
      </c>
      <c r="B25" t="s">
        <v>82</v>
      </c>
      <c r="C25" t="s">
        <v>106</v>
      </c>
      <c r="D25">
        <v>0.2</v>
      </c>
      <c r="E25">
        <v>65</v>
      </c>
      <c r="F25">
        <v>0.2</v>
      </c>
      <c r="G25">
        <v>65</v>
      </c>
      <c r="H25">
        <v>0.2</v>
      </c>
      <c r="I25">
        <v>65</v>
      </c>
      <c r="J25">
        <v>0.3</v>
      </c>
      <c r="K25">
        <v>65</v>
      </c>
      <c r="L25">
        <v>0.2</v>
      </c>
      <c r="M25">
        <v>60</v>
      </c>
      <c r="N25">
        <v>0.2</v>
      </c>
      <c r="O25">
        <v>65</v>
      </c>
      <c r="P25">
        <v>0.2</v>
      </c>
      <c r="Q25">
        <v>65</v>
      </c>
      <c r="R25">
        <v>0.2</v>
      </c>
      <c r="S25">
        <v>75</v>
      </c>
      <c r="T25">
        <v>0.2</v>
      </c>
      <c r="U25">
        <v>75</v>
      </c>
      <c r="V25">
        <v>0.2</v>
      </c>
      <c r="W25">
        <v>75</v>
      </c>
      <c r="X25">
        <f t="shared" si="0"/>
        <v>0.21000000000000002</v>
      </c>
      <c r="Y25">
        <f t="shared" si="1"/>
        <v>67.5</v>
      </c>
      <c r="Z25">
        <f t="shared" si="2"/>
        <v>0.2</v>
      </c>
      <c r="AA25">
        <f t="shared" si="3"/>
        <v>65</v>
      </c>
    </row>
    <row r="26" spans="1:27" x14ac:dyDescent="0.45">
      <c r="A26" t="s">
        <v>72</v>
      </c>
      <c r="B26" t="s">
        <v>82</v>
      </c>
      <c r="C26" t="s">
        <v>107</v>
      </c>
      <c r="D26">
        <v>0.2</v>
      </c>
      <c r="E26">
        <v>80</v>
      </c>
      <c r="F26">
        <v>0.2</v>
      </c>
      <c r="G26">
        <v>80</v>
      </c>
      <c r="H26">
        <v>0.2</v>
      </c>
      <c r="I26">
        <v>80</v>
      </c>
      <c r="J26">
        <v>0.2</v>
      </c>
      <c r="K26">
        <v>75</v>
      </c>
      <c r="L26">
        <v>0.2</v>
      </c>
      <c r="M26">
        <v>75</v>
      </c>
      <c r="N26">
        <v>0.2</v>
      </c>
      <c r="O26">
        <v>70</v>
      </c>
      <c r="P26">
        <v>0.2</v>
      </c>
      <c r="Q26">
        <v>70</v>
      </c>
      <c r="R26">
        <v>0.2</v>
      </c>
      <c r="S26">
        <v>80</v>
      </c>
      <c r="T26">
        <v>0.2</v>
      </c>
      <c r="U26">
        <v>80</v>
      </c>
      <c r="V26">
        <v>0.2</v>
      </c>
      <c r="W26">
        <v>80</v>
      </c>
      <c r="X26">
        <f t="shared" si="0"/>
        <v>0.19999999999999998</v>
      </c>
      <c r="Y26">
        <f t="shared" si="1"/>
        <v>77</v>
      </c>
      <c r="Z26">
        <f t="shared" si="2"/>
        <v>0.2</v>
      </c>
      <c r="AA26">
        <f t="shared" si="3"/>
        <v>80</v>
      </c>
    </row>
    <row r="27" spans="1:27" x14ac:dyDescent="0.45">
      <c r="A27" t="s">
        <v>74</v>
      </c>
      <c r="B27" t="s">
        <v>82</v>
      </c>
      <c r="C27" t="s">
        <v>108</v>
      </c>
      <c r="D27">
        <v>16</v>
      </c>
      <c r="E27">
        <v>65</v>
      </c>
      <c r="F27">
        <v>16</v>
      </c>
      <c r="G27">
        <v>65</v>
      </c>
      <c r="H27">
        <v>16</v>
      </c>
      <c r="I27">
        <v>65</v>
      </c>
      <c r="J27">
        <v>16</v>
      </c>
      <c r="K27">
        <v>65</v>
      </c>
      <c r="L27">
        <v>16</v>
      </c>
      <c r="M27">
        <v>65</v>
      </c>
      <c r="N27">
        <v>16</v>
      </c>
      <c r="O27">
        <v>60</v>
      </c>
      <c r="P27">
        <v>16</v>
      </c>
      <c r="Q27">
        <v>60</v>
      </c>
      <c r="R27">
        <v>16</v>
      </c>
      <c r="S27">
        <v>60</v>
      </c>
      <c r="T27">
        <v>16</v>
      </c>
      <c r="U27">
        <v>60</v>
      </c>
      <c r="V27">
        <v>16</v>
      </c>
      <c r="W27">
        <v>60</v>
      </c>
      <c r="X27">
        <f t="shared" si="0"/>
        <v>16</v>
      </c>
      <c r="Y27">
        <f t="shared" si="1"/>
        <v>62.5</v>
      </c>
      <c r="Z27">
        <f t="shared" si="2"/>
        <v>16</v>
      </c>
      <c r="AA27">
        <f t="shared" si="3"/>
        <v>62.5</v>
      </c>
    </row>
    <row r="28" spans="1:27" x14ac:dyDescent="0.45">
      <c r="A28" t="s">
        <v>76</v>
      </c>
      <c r="B28" t="s">
        <v>82</v>
      </c>
      <c r="C28" t="s">
        <v>109</v>
      </c>
      <c r="D28">
        <v>16</v>
      </c>
      <c r="E28">
        <v>90</v>
      </c>
      <c r="F28">
        <v>16</v>
      </c>
      <c r="G28">
        <v>90</v>
      </c>
      <c r="H28">
        <v>16</v>
      </c>
      <c r="I28">
        <v>90</v>
      </c>
      <c r="J28">
        <v>16</v>
      </c>
      <c r="K28">
        <v>90</v>
      </c>
      <c r="L28">
        <v>16</v>
      </c>
      <c r="M28">
        <v>90</v>
      </c>
      <c r="N28">
        <v>16</v>
      </c>
      <c r="O28">
        <v>85</v>
      </c>
      <c r="P28">
        <v>16</v>
      </c>
      <c r="Q28">
        <v>85</v>
      </c>
      <c r="R28">
        <v>18</v>
      </c>
      <c r="S28">
        <v>85</v>
      </c>
      <c r="T28">
        <v>16</v>
      </c>
      <c r="U28">
        <v>85</v>
      </c>
      <c r="V28">
        <v>16</v>
      </c>
      <c r="W28">
        <v>85</v>
      </c>
      <c r="X28">
        <f t="shared" si="0"/>
        <v>16.2</v>
      </c>
      <c r="Y28">
        <f t="shared" si="1"/>
        <v>87.5</v>
      </c>
      <c r="Z28">
        <f t="shared" si="2"/>
        <v>16</v>
      </c>
      <c r="AA28">
        <f t="shared" si="3"/>
        <v>87.5</v>
      </c>
    </row>
    <row r="29" spans="1:27" x14ac:dyDescent="0.45">
      <c r="A29" t="s">
        <v>78</v>
      </c>
      <c r="B29" t="s">
        <v>82</v>
      </c>
      <c r="C29" t="s">
        <v>110</v>
      </c>
      <c r="D29">
        <v>-4</v>
      </c>
      <c r="E29">
        <v>60</v>
      </c>
      <c r="F29">
        <v>-4</v>
      </c>
      <c r="G29">
        <v>60</v>
      </c>
      <c r="H29">
        <v>-4</v>
      </c>
      <c r="I29">
        <v>60</v>
      </c>
      <c r="J29">
        <v>-6</v>
      </c>
      <c r="K29">
        <v>40</v>
      </c>
      <c r="L29">
        <v>-6</v>
      </c>
      <c r="M29">
        <v>40</v>
      </c>
      <c r="N29">
        <v>-4</v>
      </c>
      <c r="O29">
        <v>50</v>
      </c>
      <c r="P29">
        <v>-4</v>
      </c>
      <c r="Q29">
        <v>50</v>
      </c>
      <c r="R29">
        <v>-4.2</v>
      </c>
      <c r="S29">
        <v>40</v>
      </c>
      <c r="T29">
        <v>-4.2</v>
      </c>
      <c r="U29">
        <v>40</v>
      </c>
      <c r="V29">
        <v>-4.2</v>
      </c>
      <c r="W29">
        <v>40</v>
      </c>
      <c r="X29">
        <f t="shared" si="0"/>
        <v>-4.4600000000000009</v>
      </c>
      <c r="Y29">
        <f t="shared" si="1"/>
        <v>48</v>
      </c>
      <c r="Z29">
        <f t="shared" si="2"/>
        <v>-4.0999999999999996</v>
      </c>
      <c r="AA29">
        <f t="shared" si="3"/>
        <v>45</v>
      </c>
    </row>
    <row r="30" spans="1:27" x14ac:dyDescent="0.45">
      <c r="A30" t="s">
        <v>80</v>
      </c>
      <c r="B30" t="s">
        <v>82</v>
      </c>
      <c r="C30" t="s">
        <v>111</v>
      </c>
      <c r="D30">
        <v>-4</v>
      </c>
      <c r="E30">
        <v>75</v>
      </c>
      <c r="F30">
        <v>-4</v>
      </c>
      <c r="G30">
        <v>75</v>
      </c>
      <c r="H30">
        <v>-4</v>
      </c>
      <c r="I30">
        <v>75</v>
      </c>
      <c r="J30">
        <v>-4</v>
      </c>
      <c r="K30">
        <v>80</v>
      </c>
      <c r="L30">
        <v>-4</v>
      </c>
      <c r="M30">
        <v>80</v>
      </c>
      <c r="N30">
        <v>-4</v>
      </c>
      <c r="O30">
        <v>75</v>
      </c>
      <c r="P30">
        <v>-4</v>
      </c>
      <c r="Q30">
        <v>75</v>
      </c>
      <c r="R30">
        <v>-4</v>
      </c>
      <c r="S30">
        <v>75</v>
      </c>
      <c r="T30">
        <v>-4</v>
      </c>
      <c r="U30">
        <v>75</v>
      </c>
      <c r="V30">
        <v>-4</v>
      </c>
      <c r="W30">
        <v>75</v>
      </c>
      <c r="X30">
        <f t="shared" si="0"/>
        <v>-4</v>
      </c>
      <c r="Y30">
        <f t="shared" si="1"/>
        <v>76</v>
      </c>
      <c r="Z30">
        <f t="shared" si="2"/>
        <v>-4</v>
      </c>
      <c r="AA30">
        <f t="shared" si="3"/>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722D-749A-41F7-8024-D23A8BBA879E}">
  <dimension ref="A1:AA30"/>
  <sheetViews>
    <sheetView workbookViewId="0"/>
  </sheetViews>
  <sheetFormatPr baseColWidth="10" defaultRowHeight="14.25" x14ac:dyDescent="0.45"/>
  <sheetData>
    <row r="1" spans="1:2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141</v>
      </c>
      <c r="Y1" t="s">
        <v>142</v>
      </c>
      <c r="Z1" t="s">
        <v>143</v>
      </c>
      <c r="AA1" t="s">
        <v>144</v>
      </c>
    </row>
    <row r="2" spans="1:27" x14ac:dyDescent="0.45">
      <c r="A2" t="s">
        <v>23</v>
      </c>
      <c r="B2" t="s">
        <v>82</v>
      </c>
      <c r="C2" t="s">
        <v>112</v>
      </c>
      <c r="D2">
        <v>0.6</v>
      </c>
      <c r="E2">
        <v>90</v>
      </c>
      <c r="F2">
        <v>0.6</v>
      </c>
      <c r="G2">
        <v>90</v>
      </c>
      <c r="H2">
        <v>0.6</v>
      </c>
      <c r="I2">
        <v>90</v>
      </c>
      <c r="J2">
        <v>0.6</v>
      </c>
      <c r="K2">
        <v>90</v>
      </c>
      <c r="L2">
        <v>0.6</v>
      </c>
      <c r="M2">
        <v>90</v>
      </c>
      <c r="N2">
        <v>0.7</v>
      </c>
      <c r="O2">
        <v>90</v>
      </c>
      <c r="P2">
        <v>0.7</v>
      </c>
      <c r="Q2">
        <v>90</v>
      </c>
      <c r="R2">
        <v>0.6</v>
      </c>
      <c r="S2">
        <v>90</v>
      </c>
      <c r="T2">
        <v>0.6</v>
      </c>
      <c r="U2">
        <v>90</v>
      </c>
      <c r="V2">
        <v>0.6</v>
      </c>
      <c r="W2">
        <v>90</v>
      </c>
      <c r="X2">
        <f>AVERAGE(D2,F2,H2,J2,L2,N2,P2,R2,T2,V2)</f>
        <v>0.61999999999999988</v>
      </c>
      <c r="Y2">
        <f>AVERAGE(E2,G2,I2,K2,M2,O2,Q2,S2,U2,W2)</f>
        <v>90</v>
      </c>
      <c r="Z2">
        <f>MEDIAN(D2,F2,H2,J2,L2,N2,P2,R2,T2,V2)</f>
        <v>0.6</v>
      </c>
      <c r="AA2">
        <f>MEDIAN(E2,G2,I2,K2,M2,O2,Q2,S2,U2,W2)</f>
        <v>90</v>
      </c>
    </row>
    <row r="3" spans="1:27" x14ac:dyDescent="0.45">
      <c r="A3" t="s">
        <v>26</v>
      </c>
      <c r="B3" t="s">
        <v>82</v>
      </c>
      <c r="C3" t="s">
        <v>113</v>
      </c>
      <c r="D3">
        <v>0.5</v>
      </c>
      <c r="E3">
        <v>85</v>
      </c>
      <c r="F3">
        <v>0.5</v>
      </c>
      <c r="G3">
        <v>85</v>
      </c>
      <c r="H3">
        <v>0.5</v>
      </c>
      <c r="I3">
        <v>85</v>
      </c>
      <c r="J3">
        <v>0.5</v>
      </c>
      <c r="K3">
        <v>85</v>
      </c>
      <c r="L3">
        <v>0.5</v>
      </c>
      <c r="M3">
        <v>85</v>
      </c>
      <c r="N3">
        <v>0.5</v>
      </c>
      <c r="O3">
        <v>90</v>
      </c>
      <c r="P3">
        <v>0.5</v>
      </c>
      <c r="Q3">
        <v>90</v>
      </c>
      <c r="R3">
        <v>0.5</v>
      </c>
      <c r="S3">
        <v>80</v>
      </c>
      <c r="T3">
        <v>0.5</v>
      </c>
      <c r="U3">
        <v>80</v>
      </c>
      <c r="V3">
        <v>0.5</v>
      </c>
      <c r="W3">
        <v>80</v>
      </c>
      <c r="X3">
        <f t="shared" ref="X3:Y30" si="0">AVERAGE(D3,F3,H3,J3,L3,N3,P3,R3,T3,V3)</f>
        <v>0.5</v>
      </c>
      <c r="Y3">
        <f t="shared" si="0"/>
        <v>84.5</v>
      </c>
      <c r="Z3">
        <f t="shared" ref="Z3:AA30" si="1">MEDIAN(D3,F3,H3,J3,L3,N3,P3,R3,T3,V3)</f>
        <v>0.5</v>
      </c>
      <c r="AA3">
        <f t="shared" si="1"/>
        <v>85</v>
      </c>
    </row>
    <row r="4" spans="1:27" x14ac:dyDescent="0.45">
      <c r="A4" t="s">
        <v>28</v>
      </c>
      <c r="B4" t="s">
        <v>82</v>
      </c>
      <c r="C4" t="s">
        <v>114</v>
      </c>
      <c r="D4">
        <v>0.4</v>
      </c>
      <c r="E4">
        <v>80</v>
      </c>
      <c r="F4">
        <v>0.4</v>
      </c>
      <c r="G4">
        <v>80</v>
      </c>
      <c r="H4">
        <v>0.4</v>
      </c>
      <c r="I4">
        <v>80</v>
      </c>
      <c r="J4">
        <v>0.5</v>
      </c>
      <c r="K4">
        <v>85</v>
      </c>
      <c r="L4">
        <v>0.5</v>
      </c>
      <c r="M4">
        <v>85</v>
      </c>
      <c r="N4">
        <v>0.4</v>
      </c>
      <c r="O4">
        <v>85</v>
      </c>
      <c r="P4">
        <v>0.4</v>
      </c>
      <c r="Q4">
        <v>85</v>
      </c>
      <c r="R4">
        <v>0.4</v>
      </c>
      <c r="S4">
        <v>85</v>
      </c>
      <c r="T4">
        <v>0.4</v>
      </c>
      <c r="U4">
        <v>85</v>
      </c>
      <c r="V4">
        <v>0.4</v>
      </c>
      <c r="W4">
        <v>85</v>
      </c>
      <c r="X4">
        <f t="shared" si="0"/>
        <v>0.42000000000000004</v>
      </c>
      <c r="Y4">
        <f t="shared" si="0"/>
        <v>83.5</v>
      </c>
      <c r="Z4">
        <f t="shared" si="1"/>
        <v>0.4</v>
      </c>
      <c r="AA4">
        <f t="shared" si="1"/>
        <v>85</v>
      </c>
    </row>
    <row r="5" spans="1:27" x14ac:dyDescent="0.45">
      <c r="A5" t="s">
        <v>30</v>
      </c>
      <c r="B5" t="s">
        <v>82</v>
      </c>
      <c r="C5" t="s">
        <v>115</v>
      </c>
      <c r="D5">
        <v>0.4</v>
      </c>
      <c r="E5">
        <v>85</v>
      </c>
      <c r="F5">
        <v>0.4</v>
      </c>
      <c r="G5">
        <v>85</v>
      </c>
      <c r="H5">
        <v>0.4</v>
      </c>
      <c r="I5">
        <v>85</v>
      </c>
      <c r="J5">
        <v>0.3</v>
      </c>
      <c r="K5">
        <v>80</v>
      </c>
      <c r="L5">
        <v>0.3</v>
      </c>
      <c r="M5">
        <v>80</v>
      </c>
      <c r="N5">
        <v>0.3</v>
      </c>
      <c r="O5">
        <v>85</v>
      </c>
      <c r="P5">
        <v>0.3</v>
      </c>
      <c r="Q5">
        <v>85</v>
      </c>
      <c r="R5">
        <v>0.3</v>
      </c>
      <c r="S5">
        <v>85</v>
      </c>
      <c r="T5">
        <v>0.3</v>
      </c>
      <c r="U5">
        <v>85</v>
      </c>
      <c r="V5">
        <v>0.3</v>
      </c>
      <c r="W5">
        <v>85</v>
      </c>
      <c r="X5">
        <f t="shared" si="0"/>
        <v>0.32999999999999996</v>
      </c>
      <c r="Y5">
        <f t="shared" si="0"/>
        <v>84</v>
      </c>
      <c r="Z5">
        <f t="shared" si="1"/>
        <v>0.3</v>
      </c>
      <c r="AA5">
        <f t="shared" si="1"/>
        <v>85</v>
      </c>
    </row>
    <row r="6" spans="1:27" x14ac:dyDescent="0.45">
      <c r="A6" t="s">
        <v>32</v>
      </c>
      <c r="B6" t="s">
        <v>82</v>
      </c>
      <c r="C6" t="s">
        <v>116</v>
      </c>
      <c r="D6">
        <v>0.3</v>
      </c>
      <c r="E6">
        <v>75</v>
      </c>
      <c r="F6">
        <v>0.3</v>
      </c>
      <c r="G6">
        <v>75</v>
      </c>
      <c r="H6">
        <v>0.3</v>
      </c>
      <c r="I6">
        <v>75</v>
      </c>
      <c r="J6">
        <v>0.3</v>
      </c>
      <c r="K6">
        <v>75</v>
      </c>
      <c r="L6">
        <v>0.3</v>
      </c>
      <c r="M6">
        <v>75</v>
      </c>
      <c r="N6">
        <v>0.3</v>
      </c>
      <c r="O6">
        <v>75</v>
      </c>
      <c r="P6">
        <v>0.3</v>
      </c>
      <c r="Q6">
        <v>75</v>
      </c>
      <c r="R6">
        <v>0.3</v>
      </c>
      <c r="S6">
        <v>80</v>
      </c>
      <c r="T6">
        <v>0.3</v>
      </c>
      <c r="U6">
        <v>80</v>
      </c>
      <c r="V6">
        <v>0.3</v>
      </c>
      <c r="W6">
        <v>80</v>
      </c>
      <c r="X6">
        <f t="shared" si="0"/>
        <v>0.29999999999999993</v>
      </c>
      <c r="Y6">
        <f t="shared" si="0"/>
        <v>76.5</v>
      </c>
      <c r="Z6">
        <f t="shared" si="1"/>
        <v>0.3</v>
      </c>
      <c r="AA6">
        <f t="shared" si="1"/>
        <v>75</v>
      </c>
    </row>
    <row r="7" spans="1:27" x14ac:dyDescent="0.45">
      <c r="A7" t="s">
        <v>34</v>
      </c>
      <c r="B7" t="s">
        <v>82</v>
      </c>
      <c r="C7" t="s">
        <v>117</v>
      </c>
      <c r="D7">
        <v>0.3</v>
      </c>
      <c r="E7">
        <v>85</v>
      </c>
      <c r="F7">
        <v>0.3</v>
      </c>
      <c r="G7">
        <v>85</v>
      </c>
      <c r="H7">
        <v>0.3</v>
      </c>
      <c r="I7">
        <v>85</v>
      </c>
      <c r="J7">
        <v>0.3</v>
      </c>
      <c r="K7">
        <v>75</v>
      </c>
      <c r="L7">
        <v>0.3</v>
      </c>
      <c r="M7">
        <v>75</v>
      </c>
      <c r="N7">
        <v>0.3</v>
      </c>
      <c r="O7">
        <v>80</v>
      </c>
      <c r="P7">
        <v>0.3</v>
      </c>
      <c r="Q7">
        <v>80</v>
      </c>
      <c r="R7">
        <v>0.3</v>
      </c>
      <c r="S7">
        <v>80</v>
      </c>
      <c r="T7">
        <v>0.3</v>
      </c>
      <c r="U7">
        <v>80</v>
      </c>
      <c r="V7">
        <v>0.3</v>
      </c>
      <c r="W7">
        <v>80</v>
      </c>
      <c r="X7">
        <f t="shared" si="0"/>
        <v>0.29999999999999993</v>
      </c>
      <c r="Y7">
        <f t="shared" si="0"/>
        <v>80.5</v>
      </c>
      <c r="Z7">
        <f t="shared" si="1"/>
        <v>0.3</v>
      </c>
      <c r="AA7">
        <f t="shared" si="1"/>
        <v>80</v>
      </c>
    </row>
    <row r="8" spans="1:27" x14ac:dyDescent="0.45">
      <c r="A8" t="s">
        <v>36</v>
      </c>
      <c r="B8" t="s">
        <v>82</v>
      </c>
      <c r="C8" t="s">
        <v>118</v>
      </c>
      <c r="D8">
        <v>0.4</v>
      </c>
      <c r="E8">
        <v>85</v>
      </c>
      <c r="F8">
        <v>0.4</v>
      </c>
      <c r="G8">
        <v>85</v>
      </c>
      <c r="H8">
        <v>0.4</v>
      </c>
      <c r="I8">
        <v>85</v>
      </c>
      <c r="J8">
        <v>0.3</v>
      </c>
      <c r="K8">
        <v>90</v>
      </c>
      <c r="L8">
        <v>0.3</v>
      </c>
      <c r="M8">
        <v>90</v>
      </c>
      <c r="N8">
        <v>0.3</v>
      </c>
      <c r="O8">
        <v>85</v>
      </c>
      <c r="P8">
        <v>0.3</v>
      </c>
      <c r="Q8">
        <v>85</v>
      </c>
      <c r="R8">
        <v>0.4</v>
      </c>
      <c r="S8">
        <v>80</v>
      </c>
      <c r="T8">
        <v>0.4</v>
      </c>
      <c r="U8">
        <v>80</v>
      </c>
      <c r="V8">
        <v>0.4</v>
      </c>
      <c r="W8">
        <v>80</v>
      </c>
      <c r="X8">
        <f t="shared" si="0"/>
        <v>0.36</v>
      </c>
      <c r="Y8">
        <f t="shared" si="0"/>
        <v>84.5</v>
      </c>
      <c r="Z8">
        <f t="shared" si="1"/>
        <v>0.4</v>
      </c>
      <c r="AA8">
        <f t="shared" si="1"/>
        <v>85</v>
      </c>
    </row>
    <row r="9" spans="1:27" x14ac:dyDescent="0.45">
      <c r="A9" t="s">
        <v>38</v>
      </c>
      <c r="B9" t="s">
        <v>82</v>
      </c>
      <c r="C9" t="s">
        <v>119</v>
      </c>
      <c r="D9">
        <v>0.4</v>
      </c>
      <c r="E9">
        <v>80</v>
      </c>
      <c r="F9">
        <v>0.4</v>
      </c>
      <c r="G9">
        <v>80</v>
      </c>
      <c r="H9">
        <v>0.4</v>
      </c>
      <c r="I9">
        <v>80</v>
      </c>
      <c r="J9">
        <v>0.3</v>
      </c>
      <c r="K9">
        <v>70</v>
      </c>
      <c r="L9">
        <v>0.3</v>
      </c>
      <c r="M9">
        <v>70</v>
      </c>
      <c r="N9">
        <v>0.4</v>
      </c>
      <c r="O9">
        <v>80</v>
      </c>
      <c r="P9">
        <v>0.4</v>
      </c>
      <c r="Q9">
        <v>80</v>
      </c>
      <c r="R9">
        <v>0.4</v>
      </c>
      <c r="S9">
        <v>75</v>
      </c>
      <c r="T9">
        <v>0.4</v>
      </c>
      <c r="U9">
        <v>75</v>
      </c>
      <c r="V9">
        <v>0.4</v>
      </c>
      <c r="W9">
        <v>75</v>
      </c>
      <c r="X9">
        <f t="shared" si="0"/>
        <v>0.38</v>
      </c>
      <c r="Y9">
        <f t="shared" si="0"/>
        <v>76.5</v>
      </c>
      <c r="Z9">
        <f t="shared" si="1"/>
        <v>0.4</v>
      </c>
      <c r="AA9">
        <f t="shared" si="1"/>
        <v>77.5</v>
      </c>
    </row>
    <row r="10" spans="1:27" x14ac:dyDescent="0.45">
      <c r="A10" t="s">
        <v>40</v>
      </c>
      <c r="B10" t="s">
        <v>82</v>
      </c>
      <c r="C10" t="s">
        <v>120</v>
      </c>
      <c r="D10">
        <v>0.4</v>
      </c>
      <c r="E10">
        <v>85</v>
      </c>
      <c r="F10">
        <v>0.4</v>
      </c>
      <c r="G10">
        <v>85</v>
      </c>
      <c r="H10">
        <v>0.4</v>
      </c>
      <c r="I10">
        <v>85</v>
      </c>
      <c r="J10">
        <v>0.3</v>
      </c>
      <c r="K10">
        <v>80</v>
      </c>
      <c r="L10">
        <v>0.3</v>
      </c>
      <c r="M10">
        <v>80</v>
      </c>
      <c r="N10">
        <v>0.4</v>
      </c>
      <c r="O10">
        <v>80</v>
      </c>
      <c r="P10">
        <v>0.4</v>
      </c>
      <c r="Q10">
        <v>80</v>
      </c>
      <c r="R10">
        <v>0.4</v>
      </c>
      <c r="S10">
        <v>85</v>
      </c>
      <c r="T10">
        <v>0.4</v>
      </c>
      <c r="U10">
        <v>85</v>
      </c>
      <c r="V10">
        <v>0.4</v>
      </c>
      <c r="W10">
        <v>85</v>
      </c>
      <c r="X10">
        <f t="shared" si="0"/>
        <v>0.38</v>
      </c>
      <c r="Y10">
        <f t="shared" si="0"/>
        <v>83</v>
      </c>
      <c r="Z10">
        <f t="shared" si="1"/>
        <v>0.4</v>
      </c>
      <c r="AA10">
        <f t="shared" si="1"/>
        <v>85</v>
      </c>
    </row>
    <row r="11" spans="1:27" x14ac:dyDescent="0.45">
      <c r="A11" t="s">
        <v>42</v>
      </c>
      <c r="B11" t="s">
        <v>82</v>
      </c>
      <c r="C11" t="s">
        <v>121</v>
      </c>
      <c r="D11">
        <v>0.4</v>
      </c>
      <c r="E11">
        <v>85</v>
      </c>
      <c r="F11">
        <v>0.4</v>
      </c>
      <c r="G11">
        <v>85</v>
      </c>
      <c r="H11">
        <v>0.4</v>
      </c>
      <c r="I11">
        <v>85</v>
      </c>
      <c r="J11">
        <v>0.4</v>
      </c>
      <c r="K11">
        <v>90</v>
      </c>
      <c r="L11">
        <v>0.4</v>
      </c>
      <c r="M11">
        <v>90</v>
      </c>
      <c r="N11">
        <v>0.4</v>
      </c>
      <c r="O11">
        <v>90</v>
      </c>
      <c r="P11">
        <v>0.4</v>
      </c>
      <c r="Q11">
        <v>90</v>
      </c>
      <c r="R11">
        <v>0.4</v>
      </c>
      <c r="S11">
        <v>80</v>
      </c>
      <c r="T11">
        <v>0.4</v>
      </c>
      <c r="U11">
        <v>80</v>
      </c>
      <c r="V11">
        <v>0.4</v>
      </c>
      <c r="W11">
        <v>80</v>
      </c>
      <c r="X11">
        <f t="shared" si="0"/>
        <v>0.39999999999999997</v>
      </c>
      <c r="Y11">
        <f t="shared" si="0"/>
        <v>85.5</v>
      </c>
      <c r="Z11">
        <f t="shared" si="1"/>
        <v>0.4</v>
      </c>
      <c r="AA11">
        <f t="shared" si="1"/>
        <v>85</v>
      </c>
    </row>
    <row r="12" spans="1:27" x14ac:dyDescent="0.45">
      <c r="A12" t="s">
        <v>44</v>
      </c>
      <c r="B12" t="s">
        <v>82</v>
      </c>
      <c r="C12" t="s">
        <v>122</v>
      </c>
      <c r="D12">
        <v>0.4</v>
      </c>
      <c r="E12">
        <v>75</v>
      </c>
      <c r="F12">
        <v>0.4</v>
      </c>
      <c r="G12">
        <v>75</v>
      </c>
      <c r="H12">
        <v>0.4</v>
      </c>
      <c r="I12">
        <v>75</v>
      </c>
      <c r="J12">
        <v>0.3</v>
      </c>
      <c r="K12">
        <v>75</v>
      </c>
      <c r="L12">
        <v>0.3</v>
      </c>
      <c r="M12">
        <v>75</v>
      </c>
      <c r="N12">
        <v>0.4</v>
      </c>
      <c r="O12">
        <v>80</v>
      </c>
      <c r="P12">
        <v>0.4</v>
      </c>
      <c r="Q12">
        <v>80</v>
      </c>
      <c r="R12">
        <v>0.3</v>
      </c>
      <c r="S12">
        <v>75</v>
      </c>
      <c r="T12">
        <v>0.3</v>
      </c>
      <c r="U12">
        <v>75</v>
      </c>
      <c r="V12">
        <v>0.3</v>
      </c>
      <c r="W12">
        <v>75</v>
      </c>
      <c r="X12">
        <f t="shared" si="0"/>
        <v>0.35</v>
      </c>
      <c r="Y12">
        <f t="shared" si="0"/>
        <v>76</v>
      </c>
      <c r="Z12">
        <f t="shared" si="1"/>
        <v>0.35</v>
      </c>
      <c r="AA12">
        <f t="shared" si="1"/>
        <v>75</v>
      </c>
    </row>
    <row r="13" spans="1:27" x14ac:dyDescent="0.45">
      <c r="A13" t="s">
        <v>46</v>
      </c>
      <c r="B13" t="s">
        <v>82</v>
      </c>
      <c r="C13" t="s">
        <v>123</v>
      </c>
      <c r="D13">
        <v>0.2</v>
      </c>
      <c r="E13">
        <v>65</v>
      </c>
      <c r="F13">
        <v>0.2</v>
      </c>
      <c r="G13">
        <v>65</v>
      </c>
      <c r="H13">
        <v>0.2</v>
      </c>
      <c r="I13">
        <v>65</v>
      </c>
      <c r="J13">
        <v>0.2</v>
      </c>
      <c r="K13">
        <v>60</v>
      </c>
      <c r="L13">
        <v>0.2</v>
      </c>
      <c r="M13">
        <v>60</v>
      </c>
      <c r="N13">
        <v>0.2</v>
      </c>
      <c r="O13">
        <v>60</v>
      </c>
      <c r="P13">
        <v>0.2</v>
      </c>
      <c r="Q13">
        <v>60</v>
      </c>
      <c r="R13">
        <v>0.2</v>
      </c>
      <c r="S13">
        <v>70</v>
      </c>
      <c r="T13">
        <v>0.2</v>
      </c>
      <c r="U13">
        <v>70</v>
      </c>
      <c r="V13">
        <v>0.2</v>
      </c>
      <c r="W13">
        <v>70</v>
      </c>
      <c r="X13">
        <f t="shared" si="0"/>
        <v>0.19999999999999998</v>
      </c>
      <c r="Y13">
        <f t="shared" si="0"/>
        <v>64.5</v>
      </c>
      <c r="Z13">
        <f t="shared" si="1"/>
        <v>0.2</v>
      </c>
      <c r="AA13">
        <f t="shared" si="1"/>
        <v>65</v>
      </c>
    </row>
    <row r="14" spans="1:27" x14ac:dyDescent="0.45">
      <c r="A14" t="s">
        <v>48</v>
      </c>
      <c r="B14" t="s">
        <v>82</v>
      </c>
      <c r="C14" t="s">
        <v>124</v>
      </c>
      <c r="D14">
        <v>0.2</v>
      </c>
      <c r="E14">
        <v>75</v>
      </c>
      <c r="F14">
        <v>0.2</v>
      </c>
      <c r="G14">
        <v>75</v>
      </c>
      <c r="H14">
        <v>0.2</v>
      </c>
      <c r="I14">
        <v>75</v>
      </c>
      <c r="J14">
        <v>0.2</v>
      </c>
      <c r="K14">
        <v>70</v>
      </c>
      <c r="L14">
        <v>0.2</v>
      </c>
      <c r="M14">
        <v>70</v>
      </c>
      <c r="N14">
        <v>0.3</v>
      </c>
      <c r="O14">
        <v>70</v>
      </c>
      <c r="P14">
        <v>0.3</v>
      </c>
      <c r="Q14">
        <v>70</v>
      </c>
      <c r="R14">
        <v>0.2</v>
      </c>
      <c r="S14">
        <v>75</v>
      </c>
      <c r="T14">
        <v>0.2</v>
      </c>
      <c r="U14">
        <v>75</v>
      </c>
      <c r="V14">
        <v>0.2</v>
      </c>
      <c r="W14">
        <v>75</v>
      </c>
      <c r="X14">
        <f t="shared" si="0"/>
        <v>0.22000000000000003</v>
      </c>
      <c r="Y14">
        <f t="shared" si="0"/>
        <v>73</v>
      </c>
      <c r="Z14">
        <f t="shared" si="1"/>
        <v>0.2</v>
      </c>
      <c r="AA14">
        <f t="shared" si="1"/>
        <v>75</v>
      </c>
    </row>
    <row r="15" spans="1:27" x14ac:dyDescent="0.45">
      <c r="A15" t="s">
        <v>50</v>
      </c>
      <c r="B15" t="s">
        <v>82</v>
      </c>
      <c r="C15" t="s">
        <v>125</v>
      </c>
      <c r="D15">
        <v>0.3</v>
      </c>
      <c r="E15">
        <v>70</v>
      </c>
      <c r="F15">
        <v>0.3</v>
      </c>
      <c r="G15">
        <v>70</v>
      </c>
      <c r="H15">
        <v>0.3</v>
      </c>
      <c r="I15">
        <v>70</v>
      </c>
      <c r="J15">
        <v>0.3</v>
      </c>
      <c r="K15">
        <v>70</v>
      </c>
      <c r="L15">
        <v>0.3</v>
      </c>
      <c r="M15">
        <v>70</v>
      </c>
      <c r="N15">
        <v>0.2</v>
      </c>
      <c r="O15">
        <v>65</v>
      </c>
      <c r="P15">
        <v>0.2</v>
      </c>
      <c r="Q15">
        <v>65</v>
      </c>
      <c r="R15">
        <v>0.3</v>
      </c>
      <c r="S15">
        <v>75</v>
      </c>
      <c r="T15">
        <v>0.3</v>
      </c>
      <c r="U15">
        <v>75</v>
      </c>
      <c r="V15">
        <v>0.3</v>
      </c>
      <c r="W15">
        <v>75</v>
      </c>
      <c r="X15">
        <f t="shared" si="0"/>
        <v>0.27999999999999992</v>
      </c>
      <c r="Y15">
        <f t="shared" si="0"/>
        <v>70.5</v>
      </c>
      <c r="Z15">
        <f t="shared" si="1"/>
        <v>0.3</v>
      </c>
      <c r="AA15">
        <f t="shared" si="1"/>
        <v>70</v>
      </c>
    </row>
    <row r="16" spans="1:27" x14ac:dyDescent="0.45">
      <c r="A16" t="s">
        <v>52</v>
      </c>
      <c r="B16" t="s">
        <v>82</v>
      </c>
      <c r="C16" t="s">
        <v>126</v>
      </c>
      <c r="D16">
        <v>0.3</v>
      </c>
      <c r="E16">
        <v>85</v>
      </c>
      <c r="F16">
        <v>0.3</v>
      </c>
      <c r="G16">
        <v>85</v>
      </c>
      <c r="H16">
        <v>0.3</v>
      </c>
      <c r="I16">
        <v>85</v>
      </c>
      <c r="J16">
        <v>0.4</v>
      </c>
      <c r="K16">
        <v>80</v>
      </c>
      <c r="L16">
        <v>0.4</v>
      </c>
      <c r="M16">
        <v>80</v>
      </c>
      <c r="N16">
        <v>0.3</v>
      </c>
      <c r="O16">
        <v>75</v>
      </c>
      <c r="P16">
        <v>0.3</v>
      </c>
      <c r="Q16">
        <v>75</v>
      </c>
      <c r="R16">
        <v>0.3</v>
      </c>
      <c r="S16">
        <v>85</v>
      </c>
      <c r="T16">
        <v>0.3</v>
      </c>
      <c r="U16">
        <v>85</v>
      </c>
      <c r="V16">
        <v>0.3</v>
      </c>
      <c r="W16">
        <v>85</v>
      </c>
      <c r="X16">
        <f t="shared" si="0"/>
        <v>0.31999999999999995</v>
      </c>
      <c r="Y16">
        <f t="shared" si="0"/>
        <v>82</v>
      </c>
      <c r="Z16">
        <f t="shared" si="1"/>
        <v>0.3</v>
      </c>
      <c r="AA16">
        <f t="shared" si="1"/>
        <v>85</v>
      </c>
    </row>
    <row r="17" spans="1:27" x14ac:dyDescent="0.45">
      <c r="A17" t="s">
        <v>54</v>
      </c>
      <c r="B17" t="s">
        <v>82</v>
      </c>
      <c r="C17" t="s">
        <v>127</v>
      </c>
      <c r="D17">
        <v>0.3</v>
      </c>
      <c r="E17">
        <v>85</v>
      </c>
      <c r="F17">
        <v>0.3</v>
      </c>
      <c r="G17">
        <v>85</v>
      </c>
      <c r="H17">
        <v>0.3</v>
      </c>
      <c r="I17">
        <v>85</v>
      </c>
      <c r="J17">
        <v>0.3</v>
      </c>
      <c r="K17">
        <v>85</v>
      </c>
      <c r="L17">
        <v>0.3</v>
      </c>
      <c r="M17">
        <v>85</v>
      </c>
      <c r="N17">
        <v>0.3</v>
      </c>
      <c r="O17">
        <v>85</v>
      </c>
      <c r="P17">
        <v>0.3</v>
      </c>
      <c r="Q17">
        <v>85</v>
      </c>
      <c r="R17">
        <v>0.3</v>
      </c>
      <c r="S17">
        <v>85</v>
      </c>
      <c r="T17">
        <v>0.3</v>
      </c>
      <c r="U17">
        <v>85</v>
      </c>
      <c r="V17">
        <v>0.3</v>
      </c>
      <c r="W17">
        <v>85</v>
      </c>
      <c r="X17">
        <f t="shared" si="0"/>
        <v>0.29999999999999993</v>
      </c>
      <c r="Y17">
        <f t="shared" si="0"/>
        <v>85</v>
      </c>
      <c r="Z17">
        <f t="shared" si="1"/>
        <v>0.3</v>
      </c>
      <c r="AA17">
        <f t="shared" si="1"/>
        <v>85</v>
      </c>
    </row>
    <row r="18" spans="1:27" x14ac:dyDescent="0.45">
      <c r="A18" t="s">
        <v>56</v>
      </c>
      <c r="B18" t="s">
        <v>82</v>
      </c>
      <c r="C18" t="s">
        <v>128</v>
      </c>
      <c r="D18">
        <v>0.3</v>
      </c>
      <c r="E18">
        <v>75</v>
      </c>
      <c r="F18">
        <v>0.3</v>
      </c>
      <c r="G18">
        <v>75</v>
      </c>
      <c r="H18">
        <v>0.3</v>
      </c>
      <c r="I18">
        <v>75</v>
      </c>
      <c r="J18">
        <v>0.3</v>
      </c>
      <c r="K18">
        <v>80</v>
      </c>
      <c r="L18">
        <v>0.3</v>
      </c>
      <c r="M18">
        <v>80</v>
      </c>
      <c r="N18">
        <v>0.3</v>
      </c>
      <c r="O18">
        <v>75</v>
      </c>
      <c r="P18">
        <v>0.3</v>
      </c>
      <c r="Q18">
        <v>75</v>
      </c>
      <c r="R18">
        <v>0.3</v>
      </c>
      <c r="S18">
        <v>75</v>
      </c>
      <c r="T18">
        <v>0.3</v>
      </c>
      <c r="U18">
        <v>75</v>
      </c>
      <c r="V18">
        <v>0.3</v>
      </c>
      <c r="W18">
        <v>75</v>
      </c>
      <c r="X18">
        <f t="shared" si="0"/>
        <v>0.29999999999999993</v>
      </c>
      <c r="Y18">
        <f t="shared" si="0"/>
        <v>76</v>
      </c>
      <c r="Z18">
        <f t="shared" si="1"/>
        <v>0.3</v>
      </c>
      <c r="AA18">
        <f t="shared" si="1"/>
        <v>75</v>
      </c>
    </row>
    <row r="19" spans="1:27" x14ac:dyDescent="0.45">
      <c r="A19" t="s">
        <v>58</v>
      </c>
      <c r="B19" t="s">
        <v>82</v>
      </c>
      <c r="C19" t="s">
        <v>129</v>
      </c>
      <c r="D19">
        <v>0.3</v>
      </c>
      <c r="E19">
        <v>85</v>
      </c>
      <c r="F19">
        <v>0.3</v>
      </c>
      <c r="G19">
        <v>85</v>
      </c>
      <c r="H19">
        <v>0.3</v>
      </c>
      <c r="I19">
        <v>85</v>
      </c>
      <c r="J19">
        <v>0.4</v>
      </c>
      <c r="K19">
        <v>85</v>
      </c>
      <c r="L19">
        <v>0.4</v>
      </c>
      <c r="M19">
        <v>85</v>
      </c>
      <c r="N19">
        <v>0.3</v>
      </c>
      <c r="O19">
        <v>80</v>
      </c>
      <c r="P19">
        <v>0.3</v>
      </c>
      <c r="Q19">
        <v>80</v>
      </c>
      <c r="R19">
        <v>0.4</v>
      </c>
      <c r="S19">
        <v>80</v>
      </c>
      <c r="T19">
        <v>0.4</v>
      </c>
      <c r="U19">
        <v>80</v>
      </c>
      <c r="V19">
        <v>0.3</v>
      </c>
      <c r="W19">
        <v>80</v>
      </c>
      <c r="X19">
        <f t="shared" si="0"/>
        <v>0.33999999999999997</v>
      </c>
      <c r="Y19">
        <f t="shared" si="0"/>
        <v>82.5</v>
      </c>
      <c r="Z19">
        <f t="shared" si="1"/>
        <v>0.3</v>
      </c>
      <c r="AA19">
        <f t="shared" si="1"/>
        <v>82.5</v>
      </c>
    </row>
    <row r="20" spans="1:27" x14ac:dyDescent="0.45">
      <c r="A20" t="s">
        <v>60</v>
      </c>
      <c r="B20" t="s">
        <v>82</v>
      </c>
      <c r="C20" t="s">
        <v>130</v>
      </c>
      <c r="D20">
        <v>0.2</v>
      </c>
      <c r="E20">
        <v>80</v>
      </c>
      <c r="F20">
        <v>0.2</v>
      </c>
      <c r="G20">
        <v>80</v>
      </c>
      <c r="H20">
        <v>0.2</v>
      </c>
      <c r="I20">
        <v>80</v>
      </c>
      <c r="J20">
        <v>0.2</v>
      </c>
      <c r="K20">
        <v>90</v>
      </c>
      <c r="L20">
        <v>0.2</v>
      </c>
      <c r="M20">
        <v>90</v>
      </c>
      <c r="N20">
        <v>0.2</v>
      </c>
      <c r="O20">
        <v>85</v>
      </c>
      <c r="P20">
        <v>0.2</v>
      </c>
      <c r="Q20">
        <v>85</v>
      </c>
      <c r="R20">
        <v>0.2</v>
      </c>
      <c r="S20">
        <v>85</v>
      </c>
      <c r="T20">
        <v>0.2</v>
      </c>
      <c r="U20">
        <v>85</v>
      </c>
      <c r="V20">
        <v>0.2</v>
      </c>
      <c r="W20">
        <v>85</v>
      </c>
      <c r="X20">
        <f t="shared" si="0"/>
        <v>0.19999999999999998</v>
      </c>
      <c r="Y20">
        <f t="shared" si="0"/>
        <v>84.5</v>
      </c>
      <c r="Z20">
        <f t="shared" si="1"/>
        <v>0.2</v>
      </c>
      <c r="AA20">
        <f t="shared" si="1"/>
        <v>85</v>
      </c>
    </row>
    <row r="21" spans="1:27" x14ac:dyDescent="0.45">
      <c r="A21" t="s">
        <v>62</v>
      </c>
      <c r="B21" t="s">
        <v>82</v>
      </c>
      <c r="C21" t="s">
        <v>131</v>
      </c>
      <c r="D21">
        <v>0.2</v>
      </c>
      <c r="E21">
        <v>70</v>
      </c>
      <c r="F21">
        <v>0.2</v>
      </c>
      <c r="G21">
        <v>70</v>
      </c>
      <c r="H21">
        <v>0.2</v>
      </c>
      <c r="I21">
        <v>70</v>
      </c>
      <c r="J21">
        <v>0.2</v>
      </c>
      <c r="K21">
        <v>75</v>
      </c>
      <c r="L21">
        <v>0.2</v>
      </c>
      <c r="M21">
        <v>75</v>
      </c>
      <c r="N21">
        <v>0.2</v>
      </c>
      <c r="O21">
        <v>75</v>
      </c>
      <c r="P21">
        <v>0.2</v>
      </c>
      <c r="Q21">
        <v>75</v>
      </c>
      <c r="R21">
        <v>0.2</v>
      </c>
      <c r="S21">
        <v>70</v>
      </c>
      <c r="T21">
        <v>0.2</v>
      </c>
      <c r="U21">
        <v>70</v>
      </c>
      <c r="V21">
        <v>0.2</v>
      </c>
      <c r="W21">
        <v>70</v>
      </c>
      <c r="X21">
        <f t="shared" si="0"/>
        <v>0.19999999999999998</v>
      </c>
      <c r="Y21">
        <f t="shared" si="0"/>
        <v>72</v>
      </c>
      <c r="Z21">
        <f t="shared" si="1"/>
        <v>0.2</v>
      </c>
      <c r="AA21">
        <f t="shared" si="1"/>
        <v>70</v>
      </c>
    </row>
    <row r="22" spans="1:27" x14ac:dyDescent="0.45">
      <c r="A22" t="s">
        <v>64</v>
      </c>
      <c r="B22" t="s">
        <v>82</v>
      </c>
      <c r="C22" t="s">
        <v>132</v>
      </c>
      <c r="D22">
        <v>0.3</v>
      </c>
      <c r="E22">
        <v>80</v>
      </c>
      <c r="F22">
        <v>0.3</v>
      </c>
      <c r="G22">
        <v>80</v>
      </c>
      <c r="H22">
        <v>0.3</v>
      </c>
      <c r="I22">
        <v>80</v>
      </c>
      <c r="J22">
        <v>0.3</v>
      </c>
      <c r="K22">
        <v>75</v>
      </c>
      <c r="L22">
        <v>0.3</v>
      </c>
      <c r="M22">
        <v>75</v>
      </c>
      <c r="N22">
        <v>0.3</v>
      </c>
      <c r="O22">
        <v>80</v>
      </c>
      <c r="P22">
        <v>0.3</v>
      </c>
      <c r="Q22">
        <v>80</v>
      </c>
      <c r="R22">
        <v>0.3</v>
      </c>
      <c r="S22">
        <v>85</v>
      </c>
      <c r="T22">
        <v>0.3</v>
      </c>
      <c r="U22">
        <v>85</v>
      </c>
      <c r="V22">
        <v>0.3</v>
      </c>
      <c r="W22">
        <v>85</v>
      </c>
      <c r="X22">
        <f t="shared" si="0"/>
        <v>0.29999999999999993</v>
      </c>
      <c r="Y22">
        <f t="shared" si="0"/>
        <v>80.5</v>
      </c>
      <c r="Z22">
        <f t="shared" si="1"/>
        <v>0.3</v>
      </c>
      <c r="AA22">
        <f t="shared" si="1"/>
        <v>80</v>
      </c>
    </row>
    <row r="23" spans="1:27" x14ac:dyDescent="0.45">
      <c r="A23" t="s">
        <v>66</v>
      </c>
      <c r="B23" t="s">
        <v>82</v>
      </c>
      <c r="C23" t="s">
        <v>133</v>
      </c>
      <c r="D23">
        <v>0.3</v>
      </c>
      <c r="E23">
        <v>85</v>
      </c>
      <c r="F23">
        <v>0.3</v>
      </c>
      <c r="G23">
        <v>85</v>
      </c>
      <c r="H23">
        <v>0.3</v>
      </c>
      <c r="I23">
        <v>85</v>
      </c>
      <c r="J23">
        <v>0.2</v>
      </c>
      <c r="K23">
        <v>85</v>
      </c>
      <c r="L23">
        <v>0.2</v>
      </c>
      <c r="M23">
        <v>85</v>
      </c>
      <c r="N23">
        <v>0.3</v>
      </c>
      <c r="O23">
        <v>85</v>
      </c>
      <c r="P23">
        <v>0.2</v>
      </c>
      <c r="Q23">
        <v>85</v>
      </c>
      <c r="R23">
        <v>0.2</v>
      </c>
      <c r="S23">
        <v>80</v>
      </c>
      <c r="T23">
        <v>0.2</v>
      </c>
      <c r="U23">
        <v>80</v>
      </c>
      <c r="V23">
        <v>0.2</v>
      </c>
      <c r="W23">
        <v>80</v>
      </c>
      <c r="X23">
        <f t="shared" si="0"/>
        <v>0.24</v>
      </c>
      <c r="Y23">
        <f t="shared" si="0"/>
        <v>83.5</v>
      </c>
      <c r="Z23">
        <f t="shared" si="1"/>
        <v>0.2</v>
      </c>
      <c r="AA23">
        <f t="shared" si="1"/>
        <v>85</v>
      </c>
    </row>
    <row r="24" spans="1:27" x14ac:dyDescent="0.45">
      <c r="A24" t="s">
        <v>68</v>
      </c>
      <c r="B24" t="s">
        <v>82</v>
      </c>
      <c r="C24" t="s">
        <v>134</v>
      </c>
      <c r="D24">
        <v>0.3</v>
      </c>
      <c r="E24">
        <v>75</v>
      </c>
      <c r="F24">
        <v>0.3</v>
      </c>
      <c r="G24">
        <v>75</v>
      </c>
      <c r="H24">
        <v>0.3</v>
      </c>
      <c r="I24">
        <v>75</v>
      </c>
      <c r="J24">
        <v>0.2</v>
      </c>
      <c r="K24">
        <v>75</v>
      </c>
      <c r="L24">
        <v>0.2</v>
      </c>
      <c r="M24">
        <v>75</v>
      </c>
      <c r="N24">
        <v>0.2</v>
      </c>
      <c r="O24">
        <v>75</v>
      </c>
      <c r="P24">
        <v>0.2</v>
      </c>
      <c r="Q24">
        <v>75</v>
      </c>
      <c r="R24">
        <v>0.2</v>
      </c>
      <c r="S24">
        <v>80</v>
      </c>
      <c r="T24">
        <v>0.2</v>
      </c>
      <c r="U24">
        <v>80</v>
      </c>
      <c r="V24">
        <v>0.2</v>
      </c>
      <c r="W24">
        <v>80</v>
      </c>
      <c r="X24">
        <f t="shared" si="0"/>
        <v>0.22999999999999998</v>
      </c>
      <c r="Y24">
        <f t="shared" si="0"/>
        <v>76.5</v>
      </c>
      <c r="Z24">
        <f t="shared" si="1"/>
        <v>0.2</v>
      </c>
      <c r="AA24">
        <f t="shared" si="1"/>
        <v>75</v>
      </c>
    </row>
    <row r="25" spans="1:27" x14ac:dyDescent="0.45">
      <c r="A25" t="s">
        <v>70</v>
      </c>
      <c r="B25" t="s">
        <v>82</v>
      </c>
      <c r="C25" t="s">
        <v>135</v>
      </c>
      <c r="D25">
        <v>0.2</v>
      </c>
      <c r="E25">
        <v>65</v>
      </c>
      <c r="F25">
        <v>0.2</v>
      </c>
      <c r="G25">
        <v>65</v>
      </c>
      <c r="H25">
        <v>0.2</v>
      </c>
      <c r="I25">
        <v>65</v>
      </c>
      <c r="J25">
        <v>0.2</v>
      </c>
      <c r="K25">
        <v>70</v>
      </c>
      <c r="L25">
        <v>0.2</v>
      </c>
      <c r="M25">
        <v>70</v>
      </c>
      <c r="N25">
        <v>0.2</v>
      </c>
      <c r="O25">
        <v>80</v>
      </c>
      <c r="P25">
        <v>0.2</v>
      </c>
      <c r="Q25">
        <v>80</v>
      </c>
      <c r="R25">
        <v>0.2</v>
      </c>
      <c r="S25">
        <v>75</v>
      </c>
      <c r="T25">
        <v>0.2</v>
      </c>
      <c r="U25">
        <v>75</v>
      </c>
      <c r="V25">
        <v>0.2</v>
      </c>
      <c r="W25">
        <v>75</v>
      </c>
      <c r="X25">
        <f t="shared" si="0"/>
        <v>0.19999999999999998</v>
      </c>
      <c r="Y25">
        <f t="shared" si="0"/>
        <v>72</v>
      </c>
      <c r="Z25">
        <f t="shared" si="1"/>
        <v>0.2</v>
      </c>
      <c r="AA25">
        <f t="shared" si="1"/>
        <v>72.5</v>
      </c>
    </row>
    <row r="26" spans="1:27" x14ac:dyDescent="0.45">
      <c r="A26" t="s">
        <v>72</v>
      </c>
      <c r="B26" t="s">
        <v>82</v>
      </c>
      <c r="C26" t="s">
        <v>136</v>
      </c>
      <c r="D26">
        <v>0.2</v>
      </c>
      <c r="E26">
        <v>70</v>
      </c>
      <c r="F26">
        <v>0.2</v>
      </c>
      <c r="G26">
        <v>70</v>
      </c>
      <c r="H26">
        <v>0.2</v>
      </c>
      <c r="I26">
        <v>70</v>
      </c>
      <c r="J26">
        <v>0.1</v>
      </c>
      <c r="K26">
        <v>75</v>
      </c>
      <c r="L26">
        <v>0.1</v>
      </c>
      <c r="M26">
        <v>75</v>
      </c>
      <c r="N26">
        <v>0.1</v>
      </c>
      <c r="O26">
        <v>75</v>
      </c>
      <c r="P26">
        <v>0.1</v>
      </c>
      <c r="Q26">
        <v>75</v>
      </c>
      <c r="R26">
        <v>0.1</v>
      </c>
      <c r="S26">
        <v>65</v>
      </c>
      <c r="T26">
        <v>0.1</v>
      </c>
      <c r="U26">
        <v>65</v>
      </c>
      <c r="V26">
        <v>0.1</v>
      </c>
      <c r="W26">
        <v>65</v>
      </c>
      <c r="X26">
        <f t="shared" si="0"/>
        <v>0.13000000000000003</v>
      </c>
      <c r="Y26">
        <f t="shared" si="0"/>
        <v>70.5</v>
      </c>
      <c r="Z26">
        <f t="shared" si="1"/>
        <v>0.1</v>
      </c>
      <c r="AA26">
        <f t="shared" si="1"/>
        <v>70</v>
      </c>
    </row>
    <row r="27" spans="1:27" x14ac:dyDescent="0.45">
      <c r="A27" t="s">
        <v>74</v>
      </c>
      <c r="B27" t="s">
        <v>82</v>
      </c>
      <c r="C27" t="s">
        <v>137</v>
      </c>
      <c r="D27">
        <v>15</v>
      </c>
      <c r="E27">
        <v>65</v>
      </c>
      <c r="F27">
        <v>15</v>
      </c>
      <c r="G27">
        <v>65</v>
      </c>
      <c r="H27">
        <v>15</v>
      </c>
      <c r="I27">
        <v>65</v>
      </c>
      <c r="J27">
        <v>16</v>
      </c>
      <c r="K27">
        <v>65</v>
      </c>
      <c r="L27">
        <v>16</v>
      </c>
      <c r="M27">
        <v>65</v>
      </c>
      <c r="N27">
        <v>16</v>
      </c>
      <c r="O27">
        <v>70</v>
      </c>
      <c r="P27">
        <v>16</v>
      </c>
      <c r="Q27">
        <v>70</v>
      </c>
      <c r="R27">
        <v>16</v>
      </c>
      <c r="S27">
        <v>70</v>
      </c>
      <c r="T27">
        <v>16</v>
      </c>
      <c r="U27">
        <v>70</v>
      </c>
      <c r="V27">
        <v>16</v>
      </c>
      <c r="W27">
        <v>70</v>
      </c>
      <c r="X27">
        <f t="shared" si="0"/>
        <v>15.7</v>
      </c>
      <c r="Y27">
        <f t="shared" si="0"/>
        <v>67.5</v>
      </c>
      <c r="Z27">
        <f t="shared" si="1"/>
        <v>16</v>
      </c>
      <c r="AA27">
        <f t="shared" si="1"/>
        <v>67.5</v>
      </c>
    </row>
    <row r="28" spans="1:27" x14ac:dyDescent="0.45">
      <c r="A28" t="s">
        <v>76</v>
      </c>
      <c r="B28" t="s">
        <v>82</v>
      </c>
      <c r="C28" t="s">
        <v>138</v>
      </c>
      <c r="D28">
        <v>15</v>
      </c>
      <c r="E28">
        <v>85</v>
      </c>
      <c r="F28">
        <v>15</v>
      </c>
      <c r="G28">
        <v>85</v>
      </c>
      <c r="H28">
        <v>15</v>
      </c>
      <c r="I28">
        <v>85</v>
      </c>
      <c r="J28">
        <v>16</v>
      </c>
      <c r="K28">
        <v>90</v>
      </c>
      <c r="L28">
        <v>16</v>
      </c>
      <c r="M28">
        <v>90</v>
      </c>
      <c r="N28">
        <v>16</v>
      </c>
      <c r="O28">
        <v>85</v>
      </c>
      <c r="P28">
        <v>16</v>
      </c>
      <c r="Q28">
        <v>85</v>
      </c>
      <c r="R28">
        <v>16</v>
      </c>
      <c r="S28">
        <v>85</v>
      </c>
      <c r="T28">
        <v>16</v>
      </c>
      <c r="U28">
        <v>85</v>
      </c>
      <c r="V28">
        <v>16</v>
      </c>
      <c r="W28">
        <v>85</v>
      </c>
      <c r="X28">
        <f t="shared" si="0"/>
        <v>15.7</v>
      </c>
      <c r="Y28">
        <f t="shared" si="0"/>
        <v>86</v>
      </c>
      <c r="Z28">
        <f t="shared" si="1"/>
        <v>16</v>
      </c>
      <c r="AA28">
        <f t="shared" si="1"/>
        <v>85</v>
      </c>
    </row>
    <row r="29" spans="1:27" x14ac:dyDescent="0.45">
      <c r="A29" t="s">
        <v>78</v>
      </c>
      <c r="B29" t="s">
        <v>82</v>
      </c>
      <c r="C29" t="s">
        <v>139</v>
      </c>
      <c r="D29">
        <v>-4.2</v>
      </c>
      <c r="E29">
        <v>60</v>
      </c>
      <c r="F29">
        <v>-4.2</v>
      </c>
      <c r="G29">
        <v>60</v>
      </c>
      <c r="H29">
        <v>-4.2</v>
      </c>
      <c r="I29">
        <v>60</v>
      </c>
      <c r="J29">
        <v>-5.4</v>
      </c>
      <c r="K29">
        <v>65</v>
      </c>
      <c r="L29">
        <v>-5.4</v>
      </c>
      <c r="M29">
        <v>65</v>
      </c>
      <c r="N29">
        <v>-4.8</v>
      </c>
      <c r="O29">
        <v>60</v>
      </c>
      <c r="P29">
        <v>-4.8</v>
      </c>
      <c r="Q29">
        <v>60</v>
      </c>
      <c r="R29">
        <v>-5</v>
      </c>
      <c r="S29">
        <v>60</v>
      </c>
      <c r="T29">
        <v>-5</v>
      </c>
      <c r="U29">
        <v>60</v>
      </c>
      <c r="V29">
        <v>-5</v>
      </c>
      <c r="W29">
        <v>60</v>
      </c>
      <c r="X29">
        <f t="shared" si="0"/>
        <v>-4.8</v>
      </c>
      <c r="Y29">
        <f t="shared" si="0"/>
        <v>61</v>
      </c>
      <c r="Z29">
        <f t="shared" si="1"/>
        <v>-4.9000000000000004</v>
      </c>
      <c r="AA29">
        <f t="shared" si="1"/>
        <v>60</v>
      </c>
    </row>
    <row r="30" spans="1:27" x14ac:dyDescent="0.45">
      <c r="A30" t="s">
        <v>80</v>
      </c>
      <c r="B30" t="s">
        <v>82</v>
      </c>
      <c r="C30" t="s">
        <v>140</v>
      </c>
      <c r="D30">
        <v>-4</v>
      </c>
      <c r="E30">
        <v>85</v>
      </c>
      <c r="F30">
        <v>-4</v>
      </c>
      <c r="G30">
        <v>85</v>
      </c>
      <c r="H30">
        <v>-4</v>
      </c>
      <c r="I30">
        <v>85</v>
      </c>
      <c r="J30">
        <v>-4</v>
      </c>
      <c r="K30">
        <v>75</v>
      </c>
      <c r="L30">
        <v>-4</v>
      </c>
      <c r="M30">
        <v>75</v>
      </c>
      <c r="N30">
        <v>-4</v>
      </c>
      <c r="O30">
        <v>85</v>
      </c>
      <c r="P30">
        <v>-4</v>
      </c>
      <c r="Q30">
        <v>85</v>
      </c>
      <c r="R30">
        <v>-4</v>
      </c>
      <c r="S30">
        <v>85</v>
      </c>
      <c r="T30">
        <v>-4</v>
      </c>
      <c r="U30">
        <v>85</v>
      </c>
      <c r="V30">
        <v>-4</v>
      </c>
      <c r="W30">
        <v>85</v>
      </c>
      <c r="X30">
        <f t="shared" si="0"/>
        <v>-4</v>
      </c>
      <c r="Y30">
        <f t="shared" si="0"/>
        <v>83</v>
      </c>
      <c r="Z30">
        <f t="shared" si="1"/>
        <v>-4</v>
      </c>
      <c r="AA30">
        <f t="shared" si="1"/>
        <v>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CC0E-0862-40F1-99F4-6DF79D2605F9}">
  <sheetPr>
    <tabColor rgb="FFFF0000"/>
  </sheetPr>
  <dimension ref="A1:E30"/>
  <sheetViews>
    <sheetView tabSelected="1" workbookViewId="0">
      <selection activeCell="H9" sqref="H9"/>
    </sheetView>
  </sheetViews>
  <sheetFormatPr baseColWidth="10" defaultRowHeight="14.25" x14ac:dyDescent="0.45"/>
  <sheetData>
    <row r="1" spans="1:5" x14ac:dyDescent="0.45">
      <c r="A1" t="s">
        <v>0</v>
      </c>
      <c r="B1" t="s">
        <v>141</v>
      </c>
      <c r="C1" t="s">
        <v>142</v>
      </c>
      <c r="D1" t="s">
        <v>143</v>
      </c>
      <c r="E1" t="s">
        <v>144</v>
      </c>
    </row>
    <row r="2" spans="1:5" x14ac:dyDescent="0.45">
      <c r="A2" t="s">
        <v>23</v>
      </c>
      <c r="B2">
        <f>prev_BDF!X2-OLD_BDF!X2</f>
        <v>-4.9999999999999822E-2</v>
      </c>
      <c r="C2">
        <f>prev_BDF!Y2-OLD_BDF!Y2</f>
        <v>1.5</v>
      </c>
      <c r="D2">
        <f>prev_BDF!Z2-OLD_BDF!Z2</f>
        <v>0</v>
      </c>
      <c r="E2">
        <f>prev_BDF!AA2-OLD_BDF!AA2</f>
        <v>0</v>
      </c>
    </row>
    <row r="3" spans="1:5" x14ac:dyDescent="0.45">
      <c r="A3" t="s">
        <v>26</v>
      </c>
      <c r="B3">
        <f>prev_BDF!X3-OLD_BDF!X3</f>
        <v>0</v>
      </c>
      <c r="C3">
        <f>prev_BDF!Y3-OLD_BDF!Y3</f>
        <v>2</v>
      </c>
      <c r="D3">
        <f>prev_BDF!Z3-OLD_BDF!Z3</f>
        <v>0</v>
      </c>
      <c r="E3">
        <f>prev_BDF!AA3-OLD_BDF!AA3</f>
        <v>0</v>
      </c>
    </row>
    <row r="4" spans="1:5" x14ac:dyDescent="0.45">
      <c r="A4" t="s">
        <v>28</v>
      </c>
      <c r="B4">
        <f>prev_BDF!X4-OLD_BDF!X4</f>
        <v>9.9999999999999534E-3</v>
      </c>
      <c r="C4">
        <f>prev_BDF!Y4-OLD_BDF!Y4</f>
        <v>5</v>
      </c>
      <c r="D4">
        <f>prev_BDF!Z4-OLD_BDF!Z4</f>
        <v>0</v>
      </c>
      <c r="E4">
        <f>prev_BDF!AA4-OLD_BDF!AA4</f>
        <v>5</v>
      </c>
    </row>
    <row r="5" spans="1:5" x14ac:dyDescent="0.45">
      <c r="A5" t="s">
        <v>30</v>
      </c>
      <c r="B5">
        <f>prev_BDF!X5-OLD_BDF!X5</f>
        <v>7.0000000000000007E-2</v>
      </c>
      <c r="C5">
        <f>prev_BDF!Y5-OLD_BDF!Y5</f>
        <v>6</v>
      </c>
      <c r="D5">
        <f>prev_BDF!Z5-OLD_BDF!Z5</f>
        <v>0.10000000000000003</v>
      </c>
      <c r="E5">
        <f>prev_BDF!AA5-OLD_BDF!AA5</f>
        <v>5</v>
      </c>
    </row>
    <row r="6" spans="1:5" x14ac:dyDescent="0.45">
      <c r="A6" t="s">
        <v>32</v>
      </c>
      <c r="B6">
        <f>prev_BDF!X6-OLD_BDF!X6</f>
        <v>3.0000000000000027E-2</v>
      </c>
      <c r="C6">
        <f>prev_BDF!Y6-OLD_BDF!Y6</f>
        <v>-1.5</v>
      </c>
      <c r="D6">
        <f>prev_BDF!Z6-OLD_BDF!Z6</f>
        <v>0</v>
      </c>
      <c r="E6">
        <f>prev_BDF!AA6-OLD_BDF!AA6</f>
        <v>0</v>
      </c>
    </row>
    <row r="7" spans="1:5" x14ac:dyDescent="0.45">
      <c r="A7" t="s">
        <v>34</v>
      </c>
      <c r="B7">
        <f>prev_BDF!X7-OLD_BDF!X7</f>
        <v>0</v>
      </c>
      <c r="C7">
        <f>prev_BDF!Y7-OLD_BDF!Y7</f>
        <v>0</v>
      </c>
      <c r="D7">
        <f>prev_BDF!Z7-OLD_BDF!Z7</f>
        <v>0</v>
      </c>
      <c r="E7">
        <f>prev_BDF!AA7-OLD_BDF!AA7</f>
        <v>0</v>
      </c>
    </row>
    <row r="8" spans="1:5" x14ac:dyDescent="0.45">
      <c r="A8" t="s">
        <v>36</v>
      </c>
      <c r="B8">
        <f>prev_BDF!X8-OLD_BDF!X8</f>
        <v>-6.0000000000000053E-2</v>
      </c>
      <c r="C8">
        <f>prev_BDF!Y8-OLD_BDF!Y8</f>
        <v>-4.5</v>
      </c>
      <c r="D8">
        <f>prev_BDF!Z8-OLD_BDF!Z8</f>
        <v>-0.10000000000000003</v>
      </c>
      <c r="E8">
        <f>prev_BDF!AA8-OLD_BDF!AA8</f>
        <v>-5</v>
      </c>
    </row>
    <row r="9" spans="1:5" x14ac:dyDescent="0.45">
      <c r="A9" t="s">
        <v>38</v>
      </c>
      <c r="B9">
        <f>prev_BDF!X9-OLD_BDF!X9</f>
        <v>-3.0000000000000027E-2</v>
      </c>
      <c r="C9">
        <f>prev_BDF!Y9-OLD_BDF!Y9</f>
        <v>-2.5</v>
      </c>
      <c r="D9">
        <f>prev_BDF!Z9-OLD_BDF!Z9</f>
        <v>-5.0000000000000044E-2</v>
      </c>
      <c r="E9">
        <f>prev_BDF!AA9-OLD_BDF!AA9</f>
        <v>-2.5</v>
      </c>
    </row>
    <row r="10" spans="1:5" x14ac:dyDescent="0.45">
      <c r="A10" t="s">
        <v>40</v>
      </c>
      <c r="B10">
        <f>prev_BDF!X10-OLD_BDF!X10</f>
        <v>-3.0000000000000027E-2</v>
      </c>
      <c r="C10">
        <f>prev_BDF!Y10-OLD_BDF!Y10</f>
        <v>-2.5</v>
      </c>
      <c r="D10">
        <f>prev_BDF!Z10-OLD_BDF!Z10</f>
        <v>-5.0000000000000044E-2</v>
      </c>
      <c r="E10">
        <f>prev_BDF!AA10-OLD_BDF!AA10</f>
        <v>-5</v>
      </c>
    </row>
    <row r="11" spans="1:5" x14ac:dyDescent="0.45">
      <c r="A11" t="s">
        <v>42</v>
      </c>
      <c r="B11">
        <f>prev_BDF!X11-OLD_BDF!X11</f>
        <v>-2.0000000000000018E-2</v>
      </c>
      <c r="C11">
        <f>prev_BDF!Y11-OLD_BDF!Y11</f>
        <v>-5</v>
      </c>
      <c r="D11">
        <f>prev_BDF!Z11-OLD_BDF!Z11</f>
        <v>0</v>
      </c>
      <c r="E11">
        <f>prev_BDF!AA11-OLD_BDF!AA11</f>
        <v>-5</v>
      </c>
    </row>
    <row r="12" spans="1:5" x14ac:dyDescent="0.45">
      <c r="A12" t="s">
        <v>44</v>
      </c>
      <c r="B12">
        <f>prev_BDF!X12-OLD_BDF!X12</f>
        <v>-5.0000000000000044E-2</v>
      </c>
      <c r="C12">
        <f>prev_BDF!Y12-OLD_BDF!Y12</f>
        <v>-0.5</v>
      </c>
      <c r="D12">
        <f>prev_BDF!Z12-OLD_BDF!Z12</f>
        <v>-4.9999999999999989E-2</v>
      </c>
      <c r="E12">
        <f>prev_BDF!AA12-OLD_BDF!AA12</f>
        <v>0</v>
      </c>
    </row>
    <row r="13" spans="1:5" x14ac:dyDescent="0.45">
      <c r="A13" t="s">
        <v>46</v>
      </c>
      <c r="B13">
        <f>prev_BDF!X13-OLD_BDF!X13</f>
        <v>0</v>
      </c>
      <c r="C13">
        <f>prev_BDF!Y13-OLD_BDF!Y13</f>
        <v>-7</v>
      </c>
      <c r="D13">
        <f>prev_BDF!Z13-OLD_BDF!Z13</f>
        <v>0</v>
      </c>
      <c r="E13">
        <f>prev_BDF!AA13-OLD_BDF!AA13</f>
        <v>-7.5</v>
      </c>
    </row>
    <row r="14" spans="1:5" x14ac:dyDescent="0.45">
      <c r="A14" t="s">
        <v>48</v>
      </c>
      <c r="B14">
        <f>prev_BDF!X14-OLD_BDF!X14</f>
        <v>-2.0000000000000046E-2</v>
      </c>
      <c r="C14">
        <f>prev_BDF!Y14-OLD_BDF!Y14</f>
        <v>9.5</v>
      </c>
      <c r="D14">
        <f>prev_BDF!Z14-OLD_BDF!Z14</f>
        <v>0</v>
      </c>
      <c r="E14">
        <f>prev_BDF!AA14-OLD_BDF!AA14</f>
        <v>7.5</v>
      </c>
    </row>
    <row r="15" spans="1:5" x14ac:dyDescent="0.45">
      <c r="A15" t="s">
        <v>50</v>
      </c>
      <c r="B15">
        <f>prev_BDF!X15-OLD_BDF!X15</f>
        <v>0.12000000000000005</v>
      </c>
      <c r="C15">
        <f>prev_BDF!Y15-OLD_BDF!Y15</f>
        <v>4.5</v>
      </c>
      <c r="D15">
        <f>prev_BDF!Z15-OLD_BDF!Z15</f>
        <v>0.10000000000000003</v>
      </c>
      <c r="E15">
        <f>prev_BDF!AA15-OLD_BDF!AA15</f>
        <v>5</v>
      </c>
    </row>
    <row r="16" spans="1:5" x14ac:dyDescent="0.45">
      <c r="A16" t="s">
        <v>52</v>
      </c>
      <c r="B16">
        <f>prev_BDF!X16-OLD_BDF!X16</f>
        <v>0</v>
      </c>
      <c r="C16">
        <f>prev_BDF!Y16-OLD_BDF!Y16</f>
        <v>-4.5</v>
      </c>
      <c r="D16">
        <f>prev_BDF!Z16-OLD_BDF!Z16</f>
        <v>0</v>
      </c>
      <c r="E16">
        <f>prev_BDF!AA16-OLD_BDF!AA16</f>
        <v>-7.5</v>
      </c>
    </row>
    <row r="17" spans="1:5" x14ac:dyDescent="0.45">
      <c r="A17" t="s">
        <v>54</v>
      </c>
      <c r="B17">
        <f>prev_BDF!X17-OLD_BDF!X17</f>
        <v>0</v>
      </c>
      <c r="C17">
        <f>prev_BDF!Y17-OLD_BDF!Y17</f>
        <v>-5.5</v>
      </c>
      <c r="D17">
        <f>prev_BDF!Z17-OLD_BDF!Z17</f>
        <v>0</v>
      </c>
      <c r="E17">
        <f>prev_BDF!AA17-OLD_BDF!AA17</f>
        <v>-5</v>
      </c>
    </row>
    <row r="18" spans="1:5" x14ac:dyDescent="0.45">
      <c r="A18" t="s">
        <v>56</v>
      </c>
      <c r="B18">
        <f>prev_BDF!X18-OLD_BDF!X18</f>
        <v>0</v>
      </c>
      <c r="C18">
        <f>prev_BDF!Y18-OLD_BDF!Y18</f>
        <v>1</v>
      </c>
      <c r="D18">
        <f>prev_BDF!Z18-OLD_BDF!Z18</f>
        <v>0</v>
      </c>
      <c r="E18">
        <f>prev_BDF!AA18-OLD_BDF!AA18</f>
        <v>5</v>
      </c>
    </row>
    <row r="19" spans="1:5" x14ac:dyDescent="0.45">
      <c r="A19" t="s">
        <v>58</v>
      </c>
      <c r="B19">
        <f>prev_BDF!X19-OLD_BDF!X19</f>
        <v>-4.0000000000000036E-2</v>
      </c>
      <c r="C19">
        <f>prev_BDF!Y19-OLD_BDF!Y19</f>
        <v>-0.5</v>
      </c>
      <c r="D19">
        <f>prev_BDF!Z19-OLD_BDF!Z19</f>
        <v>0</v>
      </c>
      <c r="E19">
        <f>prev_BDF!AA19-OLD_BDF!AA19</f>
        <v>-2.5</v>
      </c>
    </row>
    <row r="20" spans="1:5" x14ac:dyDescent="0.45">
      <c r="A20" t="s">
        <v>60</v>
      </c>
      <c r="B20">
        <f>prev_BDF!X20-OLD_BDF!X20</f>
        <v>9.999999999999995E-2</v>
      </c>
      <c r="C20">
        <f>prev_BDF!Y20-OLD_BDF!Y20</f>
        <v>-0.5</v>
      </c>
      <c r="D20">
        <f>prev_BDF!Z20-OLD_BDF!Z20</f>
        <v>9.9999999999999978E-2</v>
      </c>
      <c r="E20">
        <f>prev_BDF!AA20-OLD_BDF!AA20</f>
        <v>0</v>
      </c>
    </row>
    <row r="21" spans="1:5" x14ac:dyDescent="0.45">
      <c r="A21" t="s">
        <v>62</v>
      </c>
      <c r="B21">
        <f>prev_BDF!X21-OLD_BDF!X21</f>
        <v>5.999999999999997E-2</v>
      </c>
      <c r="C21">
        <f>prev_BDF!Y21-OLD_BDF!Y21</f>
        <v>-4.5</v>
      </c>
      <c r="D21">
        <f>prev_BDF!Z21-OLD_BDF!Z21</f>
        <v>9.9999999999999978E-2</v>
      </c>
      <c r="E21">
        <f>prev_BDF!AA21-OLD_BDF!AA21</f>
        <v>-2.5</v>
      </c>
    </row>
    <row r="22" spans="1:5" x14ac:dyDescent="0.45">
      <c r="A22" t="s">
        <v>64</v>
      </c>
      <c r="B22">
        <f>prev_BDF!X22-OLD_BDF!X22</f>
        <v>-2.999999999999986E-2</v>
      </c>
      <c r="C22">
        <f>prev_BDF!Y22-OLD_BDF!Y22</f>
        <v>-3.5</v>
      </c>
      <c r="D22">
        <f>prev_BDF!Z22-OLD_BDF!Z22</f>
        <v>0</v>
      </c>
      <c r="E22">
        <f>prev_BDF!AA22-OLD_BDF!AA22</f>
        <v>-5</v>
      </c>
    </row>
    <row r="23" spans="1:5" x14ac:dyDescent="0.45">
      <c r="A23" t="s">
        <v>66</v>
      </c>
      <c r="B23">
        <f>prev_BDF!X23-OLD_BDF!X23</f>
        <v>1.0000000000000009E-2</v>
      </c>
      <c r="C23">
        <f>prev_BDF!Y23-OLD_BDF!Y23</f>
        <v>0</v>
      </c>
      <c r="D23">
        <f>prev_BDF!Z23-OLD_BDF!Z23</f>
        <v>4.9999999999999989E-2</v>
      </c>
      <c r="E23">
        <f>prev_BDF!AA23-OLD_BDF!AA23</f>
        <v>0</v>
      </c>
    </row>
    <row r="24" spans="1:5" x14ac:dyDescent="0.45">
      <c r="A24" t="s">
        <v>68</v>
      </c>
      <c r="B24">
        <f>prev_BDF!X24-OLD_BDF!X24</f>
        <v>2.9999999999999971E-2</v>
      </c>
      <c r="C24">
        <f>prev_BDF!Y24-OLD_BDF!Y24</f>
        <v>2.5</v>
      </c>
      <c r="D24">
        <f>prev_BDF!Z24-OLD_BDF!Z24</f>
        <v>9.9999999999999978E-2</v>
      </c>
      <c r="E24">
        <f>prev_BDF!AA24-OLD_BDF!AA24</f>
        <v>5</v>
      </c>
    </row>
    <row r="25" spans="1:5" x14ac:dyDescent="0.45">
      <c r="A25" t="s">
        <v>70</v>
      </c>
      <c r="B25">
        <f>prev_BDF!X25-OLD_BDF!X25</f>
        <v>1.0000000000000037E-2</v>
      </c>
      <c r="C25">
        <f>prev_BDF!Y25-OLD_BDF!Y25</f>
        <v>-4.5</v>
      </c>
      <c r="D25">
        <f>prev_BDF!Z25-OLD_BDF!Z25</f>
        <v>0</v>
      </c>
      <c r="E25">
        <f>prev_BDF!AA25-OLD_BDF!AA25</f>
        <v>-7.5</v>
      </c>
    </row>
    <row r="26" spans="1:5" x14ac:dyDescent="0.45">
      <c r="A26" t="s">
        <v>72</v>
      </c>
      <c r="B26">
        <f>prev_BDF!X26-OLD_BDF!X26</f>
        <v>6.9999999999999951E-2</v>
      </c>
      <c r="C26">
        <f>prev_BDF!Y26-OLD_BDF!Y26</f>
        <v>6.5</v>
      </c>
      <c r="D26">
        <f>prev_BDF!Z26-OLD_BDF!Z26</f>
        <v>0.1</v>
      </c>
      <c r="E26">
        <f>prev_BDF!AA26-OLD_BDF!AA26</f>
        <v>10</v>
      </c>
    </row>
    <row r="27" spans="1:5" x14ac:dyDescent="0.45">
      <c r="A27" t="s">
        <v>74</v>
      </c>
      <c r="B27">
        <f>prev_BDF!X27-OLD_BDF!X27</f>
        <v>0.30000000000000071</v>
      </c>
      <c r="C27">
        <f>prev_BDF!Y27-OLD_BDF!Y27</f>
        <v>-5</v>
      </c>
      <c r="D27">
        <f>prev_BDF!Z27-OLD_BDF!Z27</f>
        <v>0</v>
      </c>
      <c r="E27">
        <f>prev_BDF!AA27-OLD_BDF!AA27</f>
        <v>-5</v>
      </c>
    </row>
    <row r="28" spans="1:5" x14ac:dyDescent="0.45">
      <c r="A28" t="s">
        <v>76</v>
      </c>
      <c r="B28">
        <f>prev_BDF!X28-OLD_BDF!X28</f>
        <v>0.5</v>
      </c>
      <c r="C28">
        <f>prev_BDF!Y28-OLD_BDF!Y28</f>
        <v>1.5</v>
      </c>
      <c r="D28">
        <f>prev_BDF!Z28-OLD_BDF!Z28</f>
        <v>0</v>
      </c>
      <c r="E28">
        <f>prev_BDF!AA28-OLD_BDF!AA28</f>
        <v>2.5</v>
      </c>
    </row>
    <row r="29" spans="1:5" x14ac:dyDescent="0.45">
      <c r="A29" t="s">
        <v>78</v>
      </c>
      <c r="B29">
        <f>prev_BDF!X29-OLD_BDF!X29</f>
        <v>0.33999999999999897</v>
      </c>
      <c r="C29">
        <f>prev_BDF!Y29-OLD_BDF!Y29</f>
        <v>-13</v>
      </c>
      <c r="D29">
        <f>prev_BDF!Z29-OLD_BDF!Z29</f>
        <v>0.80000000000000071</v>
      </c>
      <c r="E29">
        <f>prev_BDF!AA29-OLD_BDF!AA29</f>
        <v>-15</v>
      </c>
    </row>
    <row r="30" spans="1:5" x14ac:dyDescent="0.45">
      <c r="A30" t="s">
        <v>80</v>
      </c>
      <c r="B30">
        <f>prev_BDF!X30-OLD_BDF!X30</f>
        <v>0</v>
      </c>
      <c r="C30">
        <f>prev_BDF!Y30-OLD_BDF!Y30</f>
        <v>-7</v>
      </c>
      <c r="D30">
        <f>prev_BDF!Z30-OLD_BDF!Z30</f>
        <v>0</v>
      </c>
      <c r="E30">
        <f>prev_BDF!AA30-OLD_BDF!AA30</f>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prev_INSEE</vt:lpstr>
      <vt:lpstr>OLD_INSEE</vt:lpstr>
      <vt:lpstr>COMPAR_INSEE</vt:lpstr>
      <vt:lpstr>prev_BDF</vt:lpstr>
      <vt:lpstr>OLD_BDF</vt:lpstr>
      <vt:lpstr>COMPAR_BDF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dc:creator>
  <cp:lastModifiedBy>Marie Bessec</cp:lastModifiedBy>
  <dcterms:created xsi:type="dcterms:W3CDTF">2025-11-15T08:39:29Z</dcterms:created>
  <dcterms:modified xsi:type="dcterms:W3CDTF">2025-11-15T10:40:40Z</dcterms:modified>
</cp:coreProperties>
</file>